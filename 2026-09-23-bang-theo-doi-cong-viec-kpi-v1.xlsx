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G_VIEC" sheetId="1" state="visible" r:id="rId3"/>
    <sheet name="DASHBOARD" sheetId="2" state="visible" r:id="rId4"/>
    <sheet name="HOM_NAY" sheetId="3" state="visible" r:id="rId5"/>
    <sheet name="KANBAN" sheetId="4" state="visible" r:id="rId6"/>
    <sheet name="EISENHOWER" sheetId="5" state="visible" r:id="rId7"/>
    <sheet name="TUAN" sheetId="6" state="visible" r:id="rId8"/>
    <sheet name="LICH_THANG" sheetId="7" state="visible" r:id="rId9"/>
    <sheet name="DANH_MUC" sheetId="8" state="visible" r:id="rId10"/>
  </sheets>
  <definedNames>
    <definedName function="false" hidden="true" localSheetId="0" name="_xlnm._FilterDatabase" vbProcedure="false">CONG_VIEC!$A$5:$Q$305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Dòng ví dụ trỏ tới DANH_MUC để tên tự đổi khi anh sửa danh mục. Khi nhập thật, chọn từ danh sách thả xuống.</t>
        </r>
      </text>
    </comment>
  </commentList>
</comments>
</file>

<file path=xl/sharedStrings.xml><?xml version="1.0" encoding="utf-8"?>
<sst xmlns="http://schemas.openxmlformats.org/spreadsheetml/2006/main" count="217" uniqueCount="123">
  <si>
    <t xml:space="preserve">SỔ CÔNG VIỆC — NƠI NHẬP LIỆU DUY NHẤT (tối đa 300 việc)</t>
  </si>
  <si>
    <t xml:space="preserve">Ô nền VÀNG: anh nhập. Ô nền XÁM: tự tính, không sửa. Các sheet khác tự cập nhật từ đây.</t>
  </si>
  <si>
    <t xml:space="preserve">5 dòng [VÍ DỤ] chỉ để minh họa cách nhập — xóa nội dung các ô vàng của chúng trước khi dùng thật.</t>
  </si>
  <si>
    <t xml:space="preserve">Cột phụ cho các sheet xem (không sửa)</t>
  </si>
  <si>
    <t xml:space="preserve">Mã việc</t>
  </si>
  <si>
    <t xml:space="preserve">Ngày giao</t>
  </si>
  <si>
    <t xml:space="preserve">Tên công việc</t>
  </si>
  <si>
    <t xml:space="preserve">Đơn vị</t>
  </si>
  <si>
    <t xml:space="preserve">Phường / địa bàn</t>
  </si>
  <si>
    <t xml:space="preserve">Người phụ trách</t>
  </si>
  <si>
    <t xml:space="preserve">Nguồn việc</t>
  </si>
  <si>
    <t xml:space="preserve">Quan trọng?</t>
  </si>
  <si>
    <t xml:space="preserve">Khẩn cấp?</t>
  </si>
  <si>
    <t xml:space="preserve">Hạn hoàn thành</t>
  </si>
  <si>
    <t xml:space="preserve">Trạng thái</t>
  </si>
  <si>
    <t xml:space="preserve">Ngày hoàn thành</t>
  </si>
  <si>
    <t xml:space="preserve">Ghi chú</t>
  </si>
  <si>
    <t xml:space="preserve">Nhóm ưu tiên</t>
  </si>
  <si>
    <t xml:space="preserve">Số ngày còn lại</t>
  </si>
  <si>
    <t xml:space="preserve">Tình trạng hạn</t>
  </si>
  <si>
    <t xml:space="preserve">Tuần (theo hạn)</t>
  </si>
  <si>
    <t xml:space="preserve">k_HomNay</t>
  </si>
  <si>
    <t xml:space="preserve">k_ChuaLam</t>
  </si>
  <si>
    <t xml:space="preserve">k_DangLam</t>
  </si>
  <si>
    <t xml:space="preserve">k_ChoDuyet</t>
  </si>
  <si>
    <t xml:space="preserve">k_HoanThanh</t>
  </si>
  <si>
    <t xml:space="preserve">k_Q1</t>
  </si>
  <si>
    <t xml:space="preserve">k_Q2</t>
  </si>
  <si>
    <t xml:space="preserve">k_Q3</t>
  </si>
  <si>
    <t xml:space="preserve">k_Q4</t>
  </si>
  <si>
    <t xml:space="preserve">k_Tuan</t>
  </si>
  <si>
    <t xml:space="preserve">[VÍ DỤ] Thu gom rác tồn đọng tuyến phố chính</t>
  </si>
  <si>
    <t xml:space="preserve">Phát sinh nội bộ</t>
  </si>
  <si>
    <t xml:space="preserve">Có</t>
  </si>
  <si>
    <t xml:space="preserve">Đang làm</t>
  </si>
  <si>
    <t xml:space="preserve">Dữ liệu minh họa</t>
  </si>
  <si>
    <t xml:space="preserve">[VÍ DỤ] Báo cáo tiến độ vệ sinh môi trường tháng 9</t>
  </si>
  <si>
    <t xml:space="preserve">Cấp trên giao</t>
  </si>
  <si>
    <t xml:space="preserve">Chưa làm</t>
  </si>
  <si>
    <t xml:space="preserve">[VÍ DỤ] Sửa nắp hố ga bị vỡ theo phản ánh</t>
  </si>
  <si>
    <t xml:space="preserve">Phản ánh của dân</t>
  </si>
  <si>
    <t xml:space="preserve">Không</t>
  </si>
  <si>
    <t xml:space="preserve">Chờ duyệt</t>
  </si>
  <si>
    <t xml:space="preserve">[VÍ DỤ] Lập kế hoạch trồng cây xanh quý IV</t>
  </si>
  <si>
    <t xml:space="preserve">Nghị quyết / kế hoạch</t>
  </si>
  <si>
    <t xml:space="preserve">[VÍ DỤ] Phun rửa đường sau sự kiện</t>
  </si>
  <si>
    <t xml:space="preserve">Hoàn thành</t>
  </si>
  <si>
    <t xml:space="preserve">DASHBOARD &amp; KPI</t>
  </si>
  <si>
    <t xml:space="preserve">Số liệu tự tính từ sheet CONG_VIEC. Tỷ lệ đúng hạn = Xong đúng hạn / (Xong đúng hạn + Xong trễ).</t>
  </si>
  <si>
    <t xml:space="preserve">Cập nhật đến:</t>
  </si>
  <si>
    <t xml:space="preserve">Tổng số việc</t>
  </si>
  <si>
    <t xml:space="preserve">Đang mở</t>
  </si>
  <si>
    <t xml:space="preserve">Quá hạn</t>
  </si>
  <si>
    <t xml:space="preserve">Đến hạn trong 3 ngày</t>
  </si>
  <si>
    <t xml:space="preserve">Đã hoàn thành</t>
  </si>
  <si>
    <t xml:space="preserve">Tỷ lệ xong đúng hạn</t>
  </si>
  <si>
    <t xml:space="preserve">KPI 1: có hạn + có người</t>
  </si>
  <si>
    <t xml:space="preserve">Mục tiêu KPI 1: 100%</t>
  </si>
  <si>
    <t xml:space="preserve">THỐNG KÊ THEO ĐƠN VỊ</t>
  </si>
  <si>
    <t xml:space="preserve">Tổng việc</t>
  </si>
  <si>
    <t xml:space="preserve">Sắp đến hạn</t>
  </si>
  <si>
    <t xml:space="preserve">Xong đúng hạn</t>
  </si>
  <si>
    <t xml:space="preserve">Xong trễ</t>
  </si>
  <si>
    <t xml:space="preserve">Tỷ lệ đúng hạn</t>
  </si>
  <si>
    <t xml:space="preserve">Tỷ lệ hoàn thành</t>
  </si>
  <si>
    <t xml:space="preserve">KPI CÁ NHÂN THEO NGƯỜI PHỤ TRÁCH</t>
  </si>
  <si>
    <t xml:space="preserve">VIỆC HÔM NAY — dùng giao ban đầu giờ</t>
  </si>
  <si>
    <t xml:space="preserve">Gồm việc QUÁ HẠN + việc ĐẾN HẠN HÔM NAY chưa hoàn thành. Xếp theo thứ tự dòng nhập.</t>
  </si>
  <si>
    <t xml:space="preserve">Hôm nay:</t>
  </si>
  <si>
    <t xml:space="preserve">Số việc:</t>
  </si>
  <si>
    <t xml:space="preserve">#</t>
  </si>
  <si>
    <t xml:space="preserve">Mã</t>
  </si>
  <si>
    <t xml:space="preserve">Hạn</t>
  </si>
  <si>
    <t xml:space="preserve">Còn (ngày)</t>
  </si>
  <si>
    <t xml:space="preserve">BẢNG KANBAN — theo trạng thái</t>
  </si>
  <si>
    <t xml:space="preserve">Ô Trạng thái để trống được tính là 'Chưa làm'. Mỗi cột hiện tối đa 60 việc.</t>
  </si>
  <si>
    <t xml:space="preserve">Người</t>
  </si>
  <si>
    <t xml:space="preserve">MA TRẬN EISENHOWER — việc chưa hoàn thành</t>
  </si>
  <si>
    <t xml:space="preserve">Quan trọng + Khẩn cấp → Làm ngay; Quan trọng → Lên lịch; Khẩn cấp → Giao lại; còn lại → Để sau.</t>
  </si>
  <si>
    <t xml:space="preserve">KẾ HOẠCH TUẦN</t>
  </si>
  <si>
    <t xml:space="preserve">Đổi ô vàng C3 sang ngày thứ Hai của tuần muốn xem. Mặc định = tuần hiện tại.</t>
  </si>
  <si>
    <t xml:space="preserve">Tuần bắt đầu:</t>
  </si>
  <si>
    <t xml:space="preserve">đến</t>
  </si>
  <si>
    <t xml:space="preserve">Thứ Hai</t>
  </si>
  <si>
    <t xml:space="preserve">Thứ Ba</t>
  </si>
  <si>
    <t xml:space="preserve">Thứ Tư</t>
  </si>
  <si>
    <t xml:space="preserve">Thứ Năm</t>
  </si>
  <si>
    <t xml:space="preserve">Thứ Sáu</t>
  </si>
  <si>
    <t xml:space="preserve">Thứ Bảy</t>
  </si>
  <si>
    <t xml:space="preserve">Chủ nhật</t>
  </si>
  <si>
    <t xml:space="preserve">Ngày</t>
  </si>
  <si>
    <t xml:space="preserve">Số việc đến hạn</t>
  </si>
  <si>
    <t xml:space="preserve">Đã xong</t>
  </si>
  <si>
    <t xml:space="preserve">Danh sách việc có hạn trong tuần</t>
  </si>
  <si>
    <t xml:space="preserve">LỊCH THÁNG — việc theo hạn hoàn thành</t>
  </si>
  <si>
    <t xml:space="preserve">Đổi ô vàng C3 sang ngày 1 của tháng muốn xem. Mỗi ô: số việc đến hạn, số quá hạn, việc đầu tiên.</t>
  </si>
  <si>
    <t xml:space="preserve">Tháng:</t>
  </si>
  <si>
    <t xml:space="preserve">Ô lịch đầu:</t>
  </si>
  <si>
    <t xml:space="preserve">DANH MỤC</t>
  </si>
  <si>
    <t xml:space="preserve">Sửa các ô nền vàng. Danh sách thả xuống ở sheet CONG_VIEC lấy từ đây.</t>
  </si>
  <si>
    <t xml:space="preserve">Có / Không</t>
  </si>
  <si>
    <t xml:space="preserve">Đơn vị 1 (sửa tên)</t>
  </si>
  <si>
    <t xml:space="preserve">Phường 1 (sửa tên)</t>
  </si>
  <si>
    <t xml:space="preserve">Người 1 (sửa tên)</t>
  </si>
  <si>
    <t xml:space="preserve">Trạng thái và Có/Không là danh mục cố định: công thức dựa vào đúng các chữ này, không sửa.</t>
  </si>
  <si>
    <t xml:space="preserve">Đơn vị 2 (sửa tên)</t>
  </si>
  <si>
    <t xml:space="preserve">Phường 2 (sửa tên)</t>
  </si>
  <si>
    <t xml:space="preserve">Người 2 (sửa tên)</t>
  </si>
  <si>
    <t xml:space="preserve">Tên đơn vị, phường, người phụ trách là chỗ trống để anh điền; file chưa có tên thật.</t>
  </si>
  <si>
    <t xml:space="preserve">Đơn vị 3 (sửa tên)</t>
  </si>
  <si>
    <t xml:space="preserve">Phường 3 (sửa tên)</t>
  </si>
  <si>
    <t xml:space="preserve">Người 3 (sửa tên)</t>
  </si>
  <si>
    <t xml:space="preserve">Đơn vị 4 (sửa tên)</t>
  </si>
  <si>
    <t xml:space="preserve">Phường 4 (sửa tên)</t>
  </si>
  <si>
    <t xml:space="preserve">Người 4 (sửa tên)</t>
  </si>
  <si>
    <t xml:space="preserve">Đơn vị 5 (sửa tên)</t>
  </si>
  <si>
    <t xml:space="preserve">Phường 5 (sửa tên)</t>
  </si>
  <si>
    <t xml:space="preserve">Người 5 (sửa tên)</t>
  </si>
  <si>
    <t xml:space="preserve">Nhóm Zalo</t>
  </si>
  <si>
    <t xml:space="preserve">Đơn vị 6 (sửa tên)</t>
  </si>
  <si>
    <t xml:space="preserve">Người 6 (sửa tên)</t>
  </si>
  <si>
    <t xml:space="preserve">Người 7 (sửa tên)</t>
  </si>
  <si>
    <t xml:space="preserve">Người 8 (sửa tên)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</si>
</sst>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0.0%"/>
    <numFmt numFmtId="168" formatCode="General"/>
    <numFmt numFmtId="169" formatCode="dd/mm"/>
    <numFmt numFmtId="170" formatCode="mm/yyyy"/>
    <numFmt numFmtId="171" formatCode="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808080"/>
      <name val="Arial"/>
      <family val="0"/>
      <charset val="1"/>
    </font>
    <font>
      <sz val="11"/>
      <name val="Arial"/>
      <family val="0"/>
      <charset val="1"/>
    </font>
    <font>
      <sz val="9"/>
      <color rgb="FFC00000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4E78"/>
        <bgColor rgb="FF003366"/>
      </patternFill>
    </fill>
    <fill>
      <patternFill patternType="solid">
        <fgColor rgb="FF595959"/>
        <bgColor rgb="FF1F4E78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D9D9D9"/>
        <bgColor rgb="FFE4DF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5B2C6F"/>
      </font>
      <fill>
        <patternFill>
          <bgColor rgb="FFE4DF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699"/>
      <rgbColor rgb="FFE4DFEC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5B2C6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Việc đang mở / quá hạn theo người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DASHBOARD!C23</c:f>
              <c:strCache>
                <c:ptCount val="1"/>
                <c:pt idx="0">
                  <c:v>Đang mở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DASHBOARD!$A$24:$A$43</c:f>
              <c:strCache>
                <c:ptCount val="20"/>
                <c:pt idx="0">
                  <c:v>Người 1 (sửa tên)</c:v>
                </c:pt>
                <c:pt idx="1">
                  <c:v>Người 2 (sửa tên)</c:v>
                </c:pt>
                <c:pt idx="2">
                  <c:v>Người 3 (sửa tên)</c:v>
                </c:pt>
                <c:pt idx="3">
                  <c:v>Người 4 (sửa tên)</c:v>
                </c:pt>
                <c:pt idx="4">
                  <c:v>Người 5 (sửa tên)</c:v>
                </c:pt>
                <c:pt idx="5">
                  <c:v>Người 6 (sửa tên)</c:v>
                </c:pt>
                <c:pt idx="6">
                  <c:v>Người 7 (sửa tên)</c:v>
                </c:pt>
                <c:pt idx="7">
                  <c:v>Người 8 (sửa tên)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DASHBOARD!$C$24:$C$43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DASHBOARD!D23</c:f>
              <c:strCache>
                <c:ptCount val="1"/>
                <c:pt idx="0">
                  <c:v>Quá hạn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DASHBOARD!$A$24:$A$43</c:f>
              <c:strCache>
                <c:ptCount val="20"/>
                <c:pt idx="0">
                  <c:v>Người 1 (sửa tên)</c:v>
                </c:pt>
                <c:pt idx="1">
                  <c:v>Người 2 (sửa tên)</c:v>
                </c:pt>
                <c:pt idx="2">
                  <c:v>Người 3 (sửa tên)</c:v>
                </c:pt>
                <c:pt idx="3">
                  <c:v>Người 4 (sửa tên)</c:v>
                </c:pt>
                <c:pt idx="4">
                  <c:v>Người 5 (sửa tên)</c:v>
                </c:pt>
                <c:pt idx="5">
                  <c:v>Người 6 (sửa tên)</c:v>
                </c:pt>
                <c:pt idx="6">
                  <c:v>Người 7 (sửa tên)</c:v>
                </c:pt>
                <c:pt idx="7">
                  <c:v>Người 8 (sửa tên)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DASHBOARD!$D$24:$D$43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72910535"/>
        <c:axId val="12423794"/>
      </c:barChart>
      <c:catAx>
        <c:axId val="7291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23794"/>
        <c:crosses val="autoZero"/>
        <c:auto val="1"/>
        <c:lblAlgn val="ctr"/>
        <c:lblOffset val="100"/>
        <c:noMultiLvlLbl val="0"/>
      </c:catAx>
      <c:valAx>
        <c:axId val="12423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105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8</xdr:row>
      <xdr:rowOff>130680</xdr:rowOff>
    </xdr:from>
    <xdr:to>
      <xdr:col>17</xdr:col>
      <xdr:colOff>15840</xdr:colOff>
      <xdr:row>24</xdr:row>
      <xdr:rowOff>21600</xdr:rowOff>
    </xdr:to>
    <xdr:graphicFrame>
      <xdr:nvGraphicFramePr>
        <xdr:cNvPr id="0" name="Chart 1"/>
        <xdr:cNvGraphicFramePr/>
      </xdr:nvGraphicFramePr>
      <xdr:xfrm>
        <a:off x="13868280" y="1952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6" min="4" style="0" width="20"/>
    <col collapsed="false" customWidth="true" hidden="false" outlineLevel="0" max="7" min="7" style="0" width="18"/>
    <col collapsed="false" customWidth="true" hidden="false" outlineLevel="0" max="9" min="8" style="0" width="11"/>
    <col collapsed="false" customWidth="true" hidden="false" outlineLevel="0" max="12" min="10" style="0" width="13"/>
    <col collapsed="false" customWidth="true" hidden="false" outlineLevel="0" max="13" min="13" style="0" width="28"/>
    <col collapsed="false" customWidth="true" hidden="false" outlineLevel="0" max="14" min="14" style="0" width="15"/>
    <col collapsed="false" customWidth="true" hidden="false" outlineLevel="0" max="15" min="15" style="0" width="10"/>
    <col collapsed="false" customWidth="true" hidden="false" outlineLevel="0" max="16" min="16" style="0" width="15"/>
    <col collapsed="false" customWidth="true" hidden="false" outlineLevel="0" max="17" min="17" style="0" width="9"/>
    <col collapsed="false" customWidth="true" hidden="false" outlineLevel="0" max="28" min="19" style="0" width="11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3</v>
      </c>
      <c r="T4" s="2"/>
      <c r="U4" s="2"/>
      <c r="V4" s="2"/>
      <c r="W4" s="2"/>
      <c r="X4" s="2"/>
      <c r="Y4" s="2"/>
      <c r="Z4" s="2"/>
      <c r="AA4" s="2"/>
      <c r="AB4" s="2"/>
    </row>
    <row r="5" customFormat="false" ht="31.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2"/>
      <c r="S5" s="8" t="s">
        <v>21</v>
      </c>
      <c r="T5" s="8" t="s">
        <v>22</v>
      </c>
      <c r="U5" s="8" t="s">
        <v>23</v>
      </c>
      <c r="V5" s="8" t="s">
        <v>24</v>
      </c>
      <c r="W5" s="8" t="s">
        <v>25</v>
      </c>
      <c r="X5" s="8" t="s">
        <v>26</v>
      </c>
      <c r="Y5" s="8" t="s">
        <v>27</v>
      </c>
      <c r="Z5" s="8" t="s">
        <v>28</v>
      </c>
      <c r="AA5" s="8" t="s">
        <v>29</v>
      </c>
      <c r="AB5" s="8" t="s">
        <v>30</v>
      </c>
    </row>
    <row r="6" customFormat="false" ht="15" hidden="false" customHeight="false" outlineLevel="0" collapsed="false">
      <c r="A6" s="9" t="str">
        <f aca="false">IF(C6="","","CV"&amp;TEXT(ROW()-5,"000"))</f>
        <v>CV001</v>
      </c>
      <c r="B6" s="10" t="n">
        <v>46278</v>
      </c>
      <c r="C6" s="11" t="s">
        <v>31</v>
      </c>
      <c r="D6" s="12" t="str">
        <f aca="false">DANH_MUC!A5</f>
        <v>Đơn vị 1 (sửa tên)</v>
      </c>
      <c r="E6" s="12" t="str">
        <f aca="false">DANH_MUC!B5</f>
        <v>Phường 1 (sửa tên)</v>
      </c>
      <c r="F6" s="12" t="str">
        <f aca="false">DANH_MUC!C5</f>
        <v>Người 1 (sửa tên)</v>
      </c>
      <c r="G6" s="12" t="s">
        <v>32</v>
      </c>
      <c r="H6" s="12" t="s">
        <v>33</v>
      </c>
      <c r="I6" s="12" t="s">
        <v>33</v>
      </c>
      <c r="J6" s="10" t="n">
        <v>46286</v>
      </c>
      <c r="K6" s="12" t="s">
        <v>34</v>
      </c>
      <c r="L6" s="10"/>
      <c r="M6" s="12" t="s">
        <v>35</v>
      </c>
      <c r="N6" s="9" t="str">
        <f aca="false">IF(C6="","",IF(AND(H6="Có",I6="Có"),"1. Làm ngay",IF(H6="Có","2. Lên lịch",IF(I6="Có","3. Giao lại","4. Để sau"))))</f>
        <v>1. Làm ngay</v>
      </c>
      <c r="O6" s="9" t="n">
        <f aca="true">IF(OR(C6="",J6="",K6="Hoàn thành"),"",J6-TODAY())</f>
        <v>-2</v>
      </c>
      <c r="P6" s="9" t="str">
        <f aca="true">IF(C6="","",IF(K6="Hoàn thành",IF(OR(L6="",J6=""),"Xong (thiếu ngày)",IF(L6&lt;=J6,"Xong đúng hạn","Xong trễ")),IF(J6="","Chưa có hạn",IF(J6&lt;TODAY(),"Quá hạn",IF(J6=TODAY(),"Đến hạn hôm nay",IF(J6-TODAY()&lt;=3,"Sắp đến hạn","Trong hạn"))))))</f>
        <v>Quá hạn</v>
      </c>
      <c r="Q6" s="9" t="n">
        <f aca="false">IF(OR(C6="",J6=""),"",WEEKNUM(J6,21))</f>
        <v>39</v>
      </c>
      <c r="R6" s="2"/>
      <c r="S6" s="9" t="n">
        <f aca="true">IF(AND(C6&lt;&gt;"",K6&lt;&gt;"Hoàn thành",J6&lt;&gt;"",J6&lt;=TODAY()),MAX(S$5:S5)+1,"")</f>
        <v>1</v>
      </c>
      <c r="T6" s="9" t="str">
        <f aca="false">IF(AND(C6&lt;&gt;"",IF(K6="","Chưa làm",K6)="Chưa làm"),MAX(T$5:T5)+1,"")</f>
        <v/>
      </c>
      <c r="U6" s="9" t="n">
        <f aca="false">IF(AND(C6&lt;&gt;"",IF(K6="","Chưa làm",K6)="Đang làm"),MAX(U$5:U5)+1,"")</f>
        <v>1</v>
      </c>
      <c r="V6" s="9" t="str">
        <f aca="false">IF(AND(C6&lt;&gt;"",IF(K6="","Chưa làm",K6)="Chờ duyệt"),MAX(V$5:V5)+1,"")</f>
        <v/>
      </c>
      <c r="W6" s="9" t="str">
        <f aca="false">IF(AND(C6&lt;&gt;"",IF(K6="","Chưa làm",K6)="Hoàn thành"),MAX(W$5:W5)+1,"")</f>
        <v/>
      </c>
      <c r="X6" s="9" t="n">
        <f aca="false">IF(AND(C6&lt;&gt;"",K6&lt;&gt;"Hoàn thành",N6="1. Làm ngay"),MAX(X$5:X5)+1,"")</f>
        <v>1</v>
      </c>
      <c r="Y6" s="9" t="str">
        <f aca="false">IF(AND(C6&lt;&gt;"",K6&lt;&gt;"Hoàn thành",N6="2. Lên lịch"),MAX(Y$5:Y5)+1,"")</f>
        <v/>
      </c>
      <c r="Z6" s="9" t="str">
        <f aca="false">IF(AND(C6&lt;&gt;"",K6&lt;&gt;"Hoàn thành",N6="3. Giao lại"),MAX(Z$5:Z5)+1,"")</f>
        <v/>
      </c>
      <c r="AA6" s="9" t="str">
        <f aca="false">IF(AND(C6&lt;&gt;"",K6&lt;&gt;"Hoàn thành",N6="4. Để sau"),MAX(AA$5:AA5)+1,"")</f>
        <v/>
      </c>
      <c r="AB6" s="9" t="n">
        <f aca="false">IF(AND(C6&lt;&gt;"",J6&lt;&gt;"",J6&gt;=TUAN!$C$3,J6&lt;=TUAN!$C$3+6),MAX(AB$5:AB5)+1,"")</f>
        <v>1</v>
      </c>
    </row>
    <row r="7" customFormat="false" ht="15" hidden="false" customHeight="false" outlineLevel="0" collapsed="false">
      <c r="A7" s="9" t="str">
        <f aca="false">IF(C7="","","CV"&amp;TEXT(ROW()-5,"000"))</f>
        <v>CV002</v>
      </c>
      <c r="B7" s="10" t="n">
        <v>46283</v>
      </c>
      <c r="C7" s="11" t="s">
        <v>36</v>
      </c>
      <c r="D7" s="12" t="str">
        <f aca="false">DANH_MUC!A6</f>
        <v>Đơn vị 2 (sửa tên)</v>
      </c>
      <c r="E7" s="12"/>
      <c r="F7" s="12" t="str">
        <f aca="false">DANH_MUC!C6</f>
        <v>Người 2 (sửa tên)</v>
      </c>
      <c r="G7" s="12" t="s">
        <v>37</v>
      </c>
      <c r="H7" s="12" t="s">
        <v>33</v>
      </c>
      <c r="I7" s="12" t="s">
        <v>33</v>
      </c>
      <c r="J7" s="10" t="n">
        <v>46288</v>
      </c>
      <c r="K7" s="12" t="s">
        <v>38</v>
      </c>
      <c r="L7" s="10"/>
      <c r="M7" s="12" t="s">
        <v>35</v>
      </c>
      <c r="N7" s="9" t="str">
        <f aca="false">IF(C7="","",IF(AND(H7="Có",I7="Có"),"1. Làm ngay",IF(H7="Có","2. Lên lịch",IF(I7="Có","3. Giao lại","4. Để sau"))))</f>
        <v>1. Làm ngay</v>
      </c>
      <c r="O7" s="9" t="n">
        <f aca="true">IF(OR(C7="",J7="",K7="Hoàn thành"),"",J7-TODAY())</f>
        <v>0</v>
      </c>
      <c r="P7" s="9" t="str">
        <f aca="true">IF(C7="","",IF(K7="Hoàn thành",IF(OR(L7="",J7=""),"Xong (thiếu ngày)",IF(L7&lt;=J7,"Xong đúng hạn","Xong trễ")),IF(J7="","Chưa có hạn",IF(J7&lt;TODAY(),"Quá hạn",IF(J7=TODAY(),"Đến hạn hôm nay",IF(J7-TODAY()&lt;=3,"Sắp đến hạn","Trong hạn"))))))</f>
        <v>Đến hạn hôm nay</v>
      </c>
      <c r="Q7" s="9" t="n">
        <f aca="false">IF(OR(C7="",J7=""),"",WEEKNUM(J7,21))</f>
        <v>39</v>
      </c>
      <c r="R7" s="2"/>
      <c r="S7" s="9" t="n">
        <f aca="true">IF(AND(C7&lt;&gt;"",K7&lt;&gt;"Hoàn thành",J7&lt;&gt;"",J7&lt;=TODAY()),MAX(S$5:S6)+1,"")</f>
        <v>2</v>
      </c>
      <c r="T7" s="9" t="n">
        <f aca="false">IF(AND(C7&lt;&gt;"",IF(K7="","Chưa làm",K7)="Chưa làm"),MAX(T$5:T6)+1,"")</f>
        <v>1</v>
      </c>
      <c r="U7" s="9" t="str">
        <f aca="false">IF(AND(C7&lt;&gt;"",IF(K7="","Chưa làm",K7)="Đang làm"),MAX(U$5:U6)+1,"")</f>
        <v/>
      </c>
      <c r="V7" s="9" t="str">
        <f aca="false">IF(AND(C7&lt;&gt;"",IF(K7="","Chưa làm",K7)="Chờ duyệt"),MAX(V$5:V6)+1,"")</f>
        <v/>
      </c>
      <c r="W7" s="9" t="str">
        <f aca="false">IF(AND(C7&lt;&gt;"",IF(K7="","Chưa làm",K7)="Hoàn thành"),MAX(W$5:W6)+1,"")</f>
        <v/>
      </c>
      <c r="X7" s="9" t="n">
        <f aca="false">IF(AND(C7&lt;&gt;"",K7&lt;&gt;"Hoàn thành",N7="1. Làm ngay"),MAX(X$5:X6)+1,"")</f>
        <v>2</v>
      </c>
      <c r="Y7" s="9" t="str">
        <f aca="false">IF(AND(C7&lt;&gt;"",K7&lt;&gt;"Hoàn thành",N7="2. Lên lịch"),MAX(Y$5:Y6)+1,"")</f>
        <v/>
      </c>
      <c r="Z7" s="9" t="str">
        <f aca="false">IF(AND(C7&lt;&gt;"",K7&lt;&gt;"Hoàn thành",N7="3. Giao lại"),MAX(Z$5:Z6)+1,"")</f>
        <v/>
      </c>
      <c r="AA7" s="9" t="str">
        <f aca="false">IF(AND(C7&lt;&gt;"",K7&lt;&gt;"Hoàn thành",N7="4. Để sau"),MAX(AA$5:AA6)+1,"")</f>
        <v/>
      </c>
      <c r="AB7" s="9" t="n">
        <f aca="false">IF(AND(C7&lt;&gt;"",J7&lt;&gt;"",J7&gt;=TUAN!$C$3,J7&lt;=TUAN!$C$3+6),MAX(AB$5:AB6)+1,"")</f>
        <v>2</v>
      </c>
    </row>
    <row r="8" customFormat="false" ht="15" hidden="false" customHeight="false" outlineLevel="0" collapsed="false">
      <c r="A8" s="9" t="str">
        <f aca="false">IF(C8="","","CV"&amp;TEXT(ROW()-5,"000"))</f>
        <v>CV003</v>
      </c>
      <c r="B8" s="10" t="n">
        <v>46281</v>
      </c>
      <c r="C8" s="11" t="s">
        <v>39</v>
      </c>
      <c r="D8" s="12" t="str">
        <f aca="false">DANH_MUC!A7</f>
        <v>Đơn vị 3 (sửa tên)</v>
      </c>
      <c r="E8" s="12" t="str">
        <f aca="false">DANH_MUC!B6</f>
        <v>Phường 2 (sửa tên)</v>
      </c>
      <c r="F8" s="12" t="str">
        <f aca="false">DANH_MUC!C7</f>
        <v>Người 3 (sửa tên)</v>
      </c>
      <c r="G8" s="12" t="s">
        <v>40</v>
      </c>
      <c r="H8" s="12" t="s">
        <v>41</v>
      </c>
      <c r="I8" s="12" t="s">
        <v>33</v>
      </c>
      <c r="J8" s="10" t="n">
        <v>46290</v>
      </c>
      <c r="K8" s="12" t="s">
        <v>42</v>
      </c>
      <c r="L8" s="10"/>
      <c r="M8" s="12" t="s">
        <v>35</v>
      </c>
      <c r="N8" s="9" t="str">
        <f aca="false">IF(C8="","",IF(AND(H8="Có",I8="Có"),"1. Làm ngay",IF(H8="Có","2. Lên lịch",IF(I8="Có","3. Giao lại","4. Để sau"))))</f>
        <v>3. Giao lại</v>
      </c>
      <c r="O8" s="9" t="n">
        <f aca="true">IF(OR(C8="",J8="",K8="Hoàn thành"),"",J8-TODAY())</f>
        <v>2</v>
      </c>
      <c r="P8" s="9" t="str">
        <f aca="true">IF(C8="","",IF(K8="Hoàn thành",IF(OR(L8="",J8=""),"Xong (thiếu ngày)",IF(L8&lt;=J8,"Xong đúng hạn","Xong trễ")),IF(J8="","Chưa có hạn",IF(J8&lt;TODAY(),"Quá hạn",IF(J8=TODAY(),"Đến hạn hôm nay",IF(J8-TODAY()&lt;=3,"Sắp đến hạn","Trong hạn"))))))</f>
        <v>Sắp đến hạn</v>
      </c>
      <c r="Q8" s="9" t="n">
        <f aca="false">IF(OR(C8="",J8=""),"",WEEKNUM(J8,21))</f>
        <v>39</v>
      </c>
      <c r="R8" s="2"/>
      <c r="S8" s="9" t="str">
        <f aca="true">IF(AND(C8&lt;&gt;"",K8&lt;&gt;"Hoàn thành",J8&lt;&gt;"",J8&lt;=TODAY()),MAX(S$5:S7)+1,"")</f>
        <v/>
      </c>
      <c r="T8" s="9" t="str">
        <f aca="false">IF(AND(C8&lt;&gt;"",IF(K8="","Chưa làm",K8)="Chưa làm"),MAX(T$5:T7)+1,"")</f>
        <v/>
      </c>
      <c r="U8" s="9" t="str">
        <f aca="false">IF(AND(C8&lt;&gt;"",IF(K8="","Chưa làm",K8)="Đang làm"),MAX(U$5:U7)+1,"")</f>
        <v/>
      </c>
      <c r="V8" s="9" t="n">
        <f aca="false">IF(AND(C8&lt;&gt;"",IF(K8="","Chưa làm",K8)="Chờ duyệt"),MAX(V$5:V7)+1,"")</f>
        <v>1</v>
      </c>
      <c r="W8" s="9" t="str">
        <f aca="false">IF(AND(C8&lt;&gt;"",IF(K8="","Chưa làm",K8)="Hoàn thành"),MAX(W$5:W7)+1,"")</f>
        <v/>
      </c>
      <c r="X8" s="9" t="str">
        <f aca="false">IF(AND(C8&lt;&gt;"",K8&lt;&gt;"Hoàn thành",N8="1. Làm ngay"),MAX(X$5:X7)+1,"")</f>
        <v/>
      </c>
      <c r="Y8" s="9" t="str">
        <f aca="false">IF(AND(C8&lt;&gt;"",K8&lt;&gt;"Hoàn thành",N8="2. Lên lịch"),MAX(Y$5:Y7)+1,"")</f>
        <v/>
      </c>
      <c r="Z8" s="9" t="n">
        <f aca="false">IF(AND(C8&lt;&gt;"",K8&lt;&gt;"Hoàn thành",N8="3. Giao lại"),MAX(Z$5:Z7)+1,"")</f>
        <v>1</v>
      </c>
      <c r="AA8" s="9" t="str">
        <f aca="false">IF(AND(C8&lt;&gt;"",K8&lt;&gt;"Hoàn thành",N8="4. Để sau"),MAX(AA$5:AA7)+1,"")</f>
        <v/>
      </c>
      <c r="AB8" s="9" t="n">
        <f aca="false">IF(AND(C8&lt;&gt;"",J8&lt;&gt;"",J8&gt;=TUAN!$C$3,J8&lt;=TUAN!$C$3+6),MAX(AB$5:AB7)+1,"")</f>
        <v>3</v>
      </c>
    </row>
    <row r="9" customFormat="false" ht="15" hidden="false" customHeight="false" outlineLevel="0" collapsed="false">
      <c r="A9" s="9" t="str">
        <f aca="false">IF(C9="","","CV"&amp;TEXT(ROW()-5,"000"))</f>
        <v>CV004</v>
      </c>
      <c r="B9" s="10" t="n">
        <v>46285</v>
      </c>
      <c r="C9" s="11" t="s">
        <v>43</v>
      </c>
      <c r="D9" s="12" t="str">
        <f aca="false">DANH_MUC!A6</f>
        <v>Đơn vị 2 (sửa tên)</v>
      </c>
      <c r="E9" s="12" t="str">
        <f aca="false">DANH_MUC!B7</f>
        <v>Phường 3 (sửa tên)</v>
      </c>
      <c r="F9" s="12" t="str">
        <f aca="false">DANH_MUC!C8</f>
        <v>Người 4 (sửa tên)</v>
      </c>
      <c r="G9" s="12" t="s">
        <v>44</v>
      </c>
      <c r="H9" s="12" t="s">
        <v>33</v>
      </c>
      <c r="I9" s="12" t="s">
        <v>41</v>
      </c>
      <c r="J9" s="10" t="n">
        <v>46302</v>
      </c>
      <c r="K9" s="12" t="s">
        <v>38</v>
      </c>
      <c r="L9" s="10"/>
      <c r="M9" s="12" t="s">
        <v>35</v>
      </c>
      <c r="N9" s="9" t="str">
        <f aca="false">IF(C9="","",IF(AND(H9="Có",I9="Có"),"1. Làm ngay",IF(H9="Có","2. Lên lịch",IF(I9="Có","3. Giao lại","4. Để sau"))))</f>
        <v>2. Lên lịch</v>
      </c>
      <c r="O9" s="9" t="n">
        <f aca="true">IF(OR(C9="",J9="",K9="Hoàn thành"),"",J9-TODAY())</f>
        <v>14</v>
      </c>
      <c r="P9" s="9" t="str">
        <f aca="true">IF(C9="","",IF(K9="Hoàn thành",IF(OR(L9="",J9=""),"Xong (thiếu ngày)",IF(L9&lt;=J9,"Xong đúng hạn","Xong trễ")),IF(J9="","Chưa có hạn",IF(J9&lt;TODAY(),"Quá hạn",IF(J9=TODAY(),"Đến hạn hôm nay",IF(J9-TODAY()&lt;=3,"Sắp đến hạn","Trong hạn"))))))</f>
        <v>Trong hạn</v>
      </c>
      <c r="Q9" s="9" t="n">
        <f aca="false">IF(OR(C9="",J9=""),"",WEEKNUM(J9,21))</f>
        <v>41</v>
      </c>
      <c r="R9" s="2"/>
      <c r="S9" s="9" t="str">
        <f aca="true">IF(AND(C9&lt;&gt;"",K9&lt;&gt;"Hoàn thành",J9&lt;&gt;"",J9&lt;=TODAY()),MAX(S$5:S8)+1,"")</f>
        <v/>
      </c>
      <c r="T9" s="9" t="n">
        <f aca="false">IF(AND(C9&lt;&gt;"",IF(K9="","Chưa làm",K9)="Chưa làm"),MAX(T$5:T8)+1,"")</f>
        <v>2</v>
      </c>
      <c r="U9" s="9" t="str">
        <f aca="false">IF(AND(C9&lt;&gt;"",IF(K9="","Chưa làm",K9)="Đang làm"),MAX(U$5:U8)+1,"")</f>
        <v/>
      </c>
      <c r="V9" s="9" t="str">
        <f aca="false">IF(AND(C9&lt;&gt;"",IF(K9="","Chưa làm",K9)="Chờ duyệt"),MAX(V$5:V8)+1,"")</f>
        <v/>
      </c>
      <c r="W9" s="9" t="str">
        <f aca="false">IF(AND(C9&lt;&gt;"",IF(K9="","Chưa làm",K9)="Hoàn thành"),MAX(W$5:W8)+1,"")</f>
        <v/>
      </c>
      <c r="X9" s="9" t="str">
        <f aca="false">IF(AND(C9&lt;&gt;"",K9&lt;&gt;"Hoàn thành",N9="1. Làm ngay"),MAX(X$5:X8)+1,"")</f>
        <v/>
      </c>
      <c r="Y9" s="9" t="n">
        <f aca="false">IF(AND(C9&lt;&gt;"",K9&lt;&gt;"Hoàn thành",N9="2. Lên lịch"),MAX(Y$5:Y8)+1,"")</f>
        <v>1</v>
      </c>
      <c r="Z9" s="9" t="str">
        <f aca="false">IF(AND(C9&lt;&gt;"",K9&lt;&gt;"Hoàn thành",N9="3. Giao lại"),MAX(Z$5:Z8)+1,"")</f>
        <v/>
      </c>
      <c r="AA9" s="9" t="str">
        <f aca="false">IF(AND(C9&lt;&gt;"",K9&lt;&gt;"Hoàn thành",N9="4. Để sau"),MAX(AA$5:AA8)+1,"")</f>
        <v/>
      </c>
      <c r="AB9" s="9" t="str">
        <f aca="false">IF(AND(C9&lt;&gt;"",J9&lt;&gt;"",J9&gt;=TUAN!$C$3,J9&lt;=TUAN!$C$3+6),MAX(AB$5:AB8)+1,"")</f>
        <v/>
      </c>
    </row>
    <row r="10" customFormat="false" ht="15" hidden="false" customHeight="false" outlineLevel="0" collapsed="false">
      <c r="A10" s="9" t="str">
        <f aca="false">IF(C10="","","CV"&amp;TEXT(ROW()-5,"000"))</f>
        <v>CV005</v>
      </c>
      <c r="B10" s="10" t="n">
        <v>46276</v>
      </c>
      <c r="C10" s="11" t="s">
        <v>45</v>
      </c>
      <c r="D10" s="12" t="str">
        <f aca="false">DANH_MUC!A5</f>
        <v>Đơn vị 1 (sửa tên)</v>
      </c>
      <c r="E10" s="12" t="str">
        <f aca="false">DANH_MUC!B8</f>
        <v>Phường 4 (sửa tên)</v>
      </c>
      <c r="F10" s="12" t="str">
        <f aca="false">DANH_MUC!C5</f>
        <v>Người 1 (sửa tên)</v>
      </c>
      <c r="G10" s="12" t="s">
        <v>32</v>
      </c>
      <c r="H10" s="12" t="s">
        <v>41</v>
      </c>
      <c r="I10" s="12" t="s">
        <v>41</v>
      </c>
      <c r="J10" s="10" t="n">
        <v>46284</v>
      </c>
      <c r="K10" s="12" t="s">
        <v>46</v>
      </c>
      <c r="L10" s="10" t="n">
        <v>46283</v>
      </c>
      <c r="M10" s="12" t="s">
        <v>35</v>
      </c>
      <c r="N10" s="9" t="str">
        <f aca="false">IF(C10="","",IF(AND(H10="Có",I10="Có"),"1. Làm ngay",IF(H10="Có","2. Lên lịch",IF(I10="Có","3. Giao lại","4. Để sau"))))</f>
        <v>4. Để sau</v>
      </c>
      <c r="O10" s="9" t="str">
        <f aca="true">IF(OR(C10="",J10="",K10="Hoàn thành"),"",J10-TODAY())</f>
        <v/>
      </c>
      <c r="P10" s="9" t="str">
        <f aca="true">IF(C10="","",IF(K10="Hoàn thành",IF(OR(L10="",J10=""),"Xong (thiếu ngày)",IF(L10&lt;=J10,"Xong đúng hạn","Xong trễ")),IF(J10="","Chưa có hạn",IF(J10&lt;TODAY(),"Quá hạn",IF(J10=TODAY(),"Đến hạn hôm nay",IF(J10-TODAY()&lt;=3,"Sắp đến hạn","Trong hạn"))))))</f>
        <v>Xong đúng hạn</v>
      </c>
      <c r="Q10" s="9" t="n">
        <f aca="false">IF(OR(C10="",J10=""),"",WEEKNUM(J10,21))</f>
        <v>38</v>
      </c>
      <c r="R10" s="2"/>
      <c r="S10" s="9" t="str">
        <f aca="true">IF(AND(C10&lt;&gt;"",K10&lt;&gt;"Hoàn thành",J10&lt;&gt;"",J10&lt;=TODAY()),MAX(S$5:S9)+1,"")</f>
        <v/>
      </c>
      <c r="T10" s="9" t="str">
        <f aca="false">IF(AND(C10&lt;&gt;"",IF(K10="","Chưa làm",K10)="Chưa làm"),MAX(T$5:T9)+1,"")</f>
        <v/>
      </c>
      <c r="U10" s="9" t="str">
        <f aca="false">IF(AND(C10&lt;&gt;"",IF(K10="","Chưa làm",K10)="Đang làm"),MAX(U$5:U9)+1,"")</f>
        <v/>
      </c>
      <c r="V10" s="9" t="str">
        <f aca="false">IF(AND(C10&lt;&gt;"",IF(K10="","Chưa làm",K10)="Chờ duyệt"),MAX(V$5:V9)+1,"")</f>
        <v/>
      </c>
      <c r="W10" s="9" t="n">
        <f aca="false">IF(AND(C10&lt;&gt;"",IF(K10="","Chưa làm",K10)="Hoàn thành"),MAX(W$5:W9)+1,"")</f>
        <v>1</v>
      </c>
      <c r="X10" s="9" t="str">
        <f aca="false">IF(AND(C10&lt;&gt;"",K10&lt;&gt;"Hoàn thành",N10="1. Làm ngay"),MAX(X$5:X9)+1,"")</f>
        <v/>
      </c>
      <c r="Y10" s="9" t="str">
        <f aca="false">IF(AND(C10&lt;&gt;"",K10&lt;&gt;"Hoàn thành",N10="2. Lên lịch"),MAX(Y$5:Y9)+1,"")</f>
        <v/>
      </c>
      <c r="Z10" s="9" t="str">
        <f aca="false">IF(AND(C10&lt;&gt;"",K10&lt;&gt;"Hoàn thành",N10="3. Giao lại"),MAX(Z$5:Z9)+1,"")</f>
        <v/>
      </c>
      <c r="AA10" s="9" t="str">
        <f aca="false">IF(AND(C10&lt;&gt;"",K10&lt;&gt;"Hoàn thành",N10="4. Để sau"),MAX(AA$5:AA9)+1,"")</f>
        <v/>
      </c>
      <c r="AB10" s="9" t="str">
        <f aca="false">IF(AND(C10&lt;&gt;"",J10&lt;&gt;"",J10&gt;=TUAN!$C$3,J10&lt;=TUAN!$C$3+6),MAX(AB$5:AB9)+1,"")</f>
        <v/>
      </c>
    </row>
    <row r="11" customFormat="false" ht="15" hidden="false" customHeight="false" outlineLevel="0" collapsed="false">
      <c r="A11" s="9" t="str">
        <f aca="false">IF(C11="","","CV"&amp;TEXT(ROW()-5,"000"))</f>
        <v/>
      </c>
      <c r="B11" s="10"/>
      <c r="C11" s="11"/>
      <c r="D11" s="12"/>
      <c r="E11" s="12"/>
      <c r="F11" s="12"/>
      <c r="G11" s="12"/>
      <c r="H11" s="12"/>
      <c r="I11" s="12"/>
      <c r="J11" s="10"/>
      <c r="K11" s="12"/>
      <c r="L11" s="10"/>
      <c r="M11" s="12"/>
      <c r="N11" s="9" t="str">
        <f aca="false">IF(C11="","",IF(AND(H11="Có",I11="Có"),"1. Làm ngay",IF(H11="Có","2. Lên lịch",IF(I11="Có","3. Giao lại","4. Để sau"))))</f>
        <v/>
      </c>
      <c r="O11" s="9" t="str">
        <f aca="true">IF(OR(C11="",J11="",K11="Hoàn thành"),"",J11-TODAY())</f>
        <v/>
      </c>
      <c r="P11" s="9" t="str">
        <f aca="true">IF(C11="","",IF(K11="Hoàn thành",IF(OR(L11="",J11=""),"Xong (thiếu ngày)",IF(L11&lt;=J11,"Xong đúng hạn","Xong trễ")),IF(J11="","Chưa có hạn",IF(J11&lt;TODAY(),"Quá hạn",IF(J11=TODAY(),"Đến hạn hôm nay",IF(J11-TODAY()&lt;=3,"Sắp đến hạn","Trong hạn"))))))</f>
        <v/>
      </c>
      <c r="Q11" s="9" t="str">
        <f aca="false">IF(OR(C11="",J11=""),"",WEEKNUM(J11,21))</f>
        <v/>
      </c>
      <c r="R11" s="2"/>
      <c r="S11" s="9" t="str">
        <f aca="true">IF(AND(C11&lt;&gt;"",K11&lt;&gt;"Hoàn thành",J11&lt;&gt;"",J11&lt;=TODAY()),MAX(S$5:S10)+1,"")</f>
        <v/>
      </c>
      <c r="T11" s="9" t="str">
        <f aca="false">IF(AND(C11&lt;&gt;"",IF(K11="","Chưa làm",K11)="Chưa làm"),MAX(T$5:T10)+1,"")</f>
        <v/>
      </c>
      <c r="U11" s="9" t="str">
        <f aca="false">IF(AND(C11&lt;&gt;"",IF(K11="","Chưa làm",K11)="Đang làm"),MAX(U$5:U10)+1,"")</f>
        <v/>
      </c>
      <c r="V11" s="9" t="str">
        <f aca="false">IF(AND(C11&lt;&gt;"",IF(K11="","Chưa làm",K11)="Chờ duyệt"),MAX(V$5:V10)+1,"")</f>
        <v/>
      </c>
      <c r="W11" s="9" t="str">
        <f aca="false">IF(AND(C11&lt;&gt;"",IF(K11="","Chưa làm",K11)="Hoàn thành"),MAX(W$5:W10)+1,"")</f>
        <v/>
      </c>
      <c r="X11" s="9" t="str">
        <f aca="false">IF(AND(C11&lt;&gt;"",K11&lt;&gt;"Hoàn thành",N11="1. Làm ngay"),MAX(X$5:X10)+1,"")</f>
        <v/>
      </c>
      <c r="Y11" s="9" t="str">
        <f aca="false">IF(AND(C11&lt;&gt;"",K11&lt;&gt;"Hoàn thành",N11="2. Lên lịch"),MAX(Y$5:Y10)+1,"")</f>
        <v/>
      </c>
      <c r="Z11" s="9" t="str">
        <f aca="false">IF(AND(C11&lt;&gt;"",K11&lt;&gt;"Hoàn thành",N11="3. Giao lại"),MAX(Z$5:Z10)+1,"")</f>
        <v/>
      </c>
      <c r="AA11" s="9" t="str">
        <f aca="false">IF(AND(C11&lt;&gt;"",K11&lt;&gt;"Hoàn thành",N11="4. Để sau"),MAX(AA$5:AA10)+1,"")</f>
        <v/>
      </c>
      <c r="AB11" s="9" t="str">
        <f aca="false">IF(AND(C11&lt;&gt;"",J11&lt;&gt;"",J11&gt;=TUAN!$C$3,J11&lt;=TUAN!$C$3+6),MAX(AB$5:AB10)+1,"")</f>
        <v/>
      </c>
    </row>
    <row r="12" customFormat="false" ht="15" hidden="false" customHeight="false" outlineLevel="0" collapsed="false">
      <c r="A12" s="9" t="str">
        <f aca="false">IF(C12="","","CV"&amp;TEXT(ROW()-5,"000"))</f>
        <v/>
      </c>
      <c r="B12" s="10"/>
      <c r="C12" s="11"/>
      <c r="D12" s="12"/>
      <c r="E12" s="12"/>
      <c r="F12" s="12"/>
      <c r="G12" s="12"/>
      <c r="H12" s="12"/>
      <c r="I12" s="12"/>
      <c r="J12" s="10"/>
      <c r="K12" s="12"/>
      <c r="L12" s="10"/>
      <c r="M12" s="12"/>
      <c r="N12" s="9" t="str">
        <f aca="false">IF(C12="","",IF(AND(H12="Có",I12="Có"),"1. Làm ngay",IF(H12="Có","2. Lên lịch",IF(I12="Có","3. Giao lại","4. Để sau"))))</f>
        <v/>
      </c>
      <c r="O12" s="9" t="str">
        <f aca="true">IF(OR(C12="",J12="",K12="Hoàn thành"),"",J12-TODAY())</f>
        <v/>
      </c>
      <c r="P12" s="9" t="str">
        <f aca="true">IF(C12="","",IF(K12="Hoàn thành",IF(OR(L12="",J12=""),"Xong (thiếu ngày)",IF(L12&lt;=J12,"Xong đúng hạn","Xong trễ")),IF(J12="","Chưa có hạn",IF(J12&lt;TODAY(),"Quá hạn",IF(J12=TODAY(),"Đến hạn hôm nay",IF(J12-TODAY()&lt;=3,"Sắp đến hạn","Trong hạn"))))))</f>
        <v/>
      </c>
      <c r="Q12" s="9" t="str">
        <f aca="false">IF(OR(C12="",J12=""),"",WEEKNUM(J12,21))</f>
        <v/>
      </c>
      <c r="R12" s="2"/>
      <c r="S12" s="9" t="str">
        <f aca="true">IF(AND(C12&lt;&gt;"",K12&lt;&gt;"Hoàn thành",J12&lt;&gt;"",J12&lt;=TODAY()),MAX(S$5:S11)+1,"")</f>
        <v/>
      </c>
      <c r="T12" s="9" t="str">
        <f aca="false">IF(AND(C12&lt;&gt;"",IF(K12="","Chưa làm",K12)="Chưa làm"),MAX(T$5:T11)+1,"")</f>
        <v/>
      </c>
      <c r="U12" s="9" t="str">
        <f aca="false">IF(AND(C12&lt;&gt;"",IF(K12="","Chưa làm",K12)="Đang làm"),MAX(U$5:U11)+1,"")</f>
        <v/>
      </c>
      <c r="V12" s="9" t="str">
        <f aca="false">IF(AND(C12&lt;&gt;"",IF(K12="","Chưa làm",K12)="Chờ duyệt"),MAX(V$5:V11)+1,"")</f>
        <v/>
      </c>
      <c r="W12" s="9" t="str">
        <f aca="false">IF(AND(C12&lt;&gt;"",IF(K12="","Chưa làm",K12)="Hoàn thành"),MAX(W$5:W11)+1,"")</f>
        <v/>
      </c>
      <c r="X12" s="9" t="str">
        <f aca="false">IF(AND(C12&lt;&gt;"",K12&lt;&gt;"Hoàn thành",N12="1. Làm ngay"),MAX(X$5:X11)+1,"")</f>
        <v/>
      </c>
      <c r="Y12" s="9" t="str">
        <f aca="false">IF(AND(C12&lt;&gt;"",K12&lt;&gt;"Hoàn thành",N12="2. Lên lịch"),MAX(Y$5:Y11)+1,"")</f>
        <v/>
      </c>
      <c r="Z12" s="9" t="str">
        <f aca="false">IF(AND(C12&lt;&gt;"",K12&lt;&gt;"Hoàn thành",N12="3. Giao lại"),MAX(Z$5:Z11)+1,"")</f>
        <v/>
      </c>
      <c r="AA12" s="9" t="str">
        <f aca="false">IF(AND(C12&lt;&gt;"",K12&lt;&gt;"Hoàn thành",N12="4. Để sau"),MAX(AA$5:AA11)+1,"")</f>
        <v/>
      </c>
      <c r="AB12" s="9" t="str">
        <f aca="false">IF(AND(C12&lt;&gt;"",J12&lt;&gt;"",J12&gt;=TUAN!$C$3,J12&lt;=TUAN!$C$3+6),MAX(AB$5:AB11)+1,"")</f>
        <v/>
      </c>
    </row>
    <row r="13" customFormat="false" ht="15" hidden="false" customHeight="false" outlineLevel="0" collapsed="false">
      <c r="A13" s="9" t="str">
        <f aca="false">IF(C13="","","CV"&amp;TEXT(ROW()-5,"000"))</f>
        <v/>
      </c>
      <c r="B13" s="10"/>
      <c r="C13" s="11"/>
      <c r="D13" s="12"/>
      <c r="E13" s="12"/>
      <c r="F13" s="12"/>
      <c r="G13" s="12"/>
      <c r="H13" s="12"/>
      <c r="I13" s="12"/>
      <c r="J13" s="10"/>
      <c r="K13" s="12"/>
      <c r="L13" s="10"/>
      <c r="M13" s="12"/>
      <c r="N13" s="9" t="str">
        <f aca="false">IF(C13="","",IF(AND(H13="Có",I13="Có"),"1. Làm ngay",IF(H13="Có","2. Lên lịch",IF(I13="Có","3. Giao lại","4. Để sau"))))</f>
        <v/>
      </c>
      <c r="O13" s="9" t="str">
        <f aca="true">IF(OR(C13="",J13="",K13="Hoàn thành"),"",J13-TODAY())</f>
        <v/>
      </c>
      <c r="P13" s="9" t="str">
        <f aca="true">IF(C13="","",IF(K13="Hoàn thành",IF(OR(L13="",J13=""),"Xong (thiếu ngày)",IF(L13&lt;=J13,"Xong đúng hạn","Xong trễ")),IF(J13="","Chưa có hạn",IF(J13&lt;TODAY(),"Quá hạn",IF(J13=TODAY(),"Đến hạn hôm nay",IF(J13-TODAY()&lt;=3,"Sắp đến hạn","Trong hạn"))))))</f>
        <v/>
      </c>
      <c r="Q13" s="9" t="str">
        <f aca="false">IF(OR(C13="",J13=""),"",WEEKNUM(J13,21))</f>
        <v/>
      </c>
      <c r="R13" s="2"/>
      <c r="S13" s="9" t="str">
        <f aca="true">IF(AND(C13&lt;&gt;"",K13&lt;&gt;"Hoàn thành",J13&lt;&gt;"",J13&lt;=TODAY()),MAX(S$5:S12)+1,"")</f>
        <v/>
      </c>
      <c r="T13" s="9" t="str">
        <f aca="false">IF(AND(C13&lt;&gt;"",IF(K13="","Chưa làm",K13)="Chưa làm"),MAX(T$5:T12)+1,"")</f>
        <v/>
      </c>
      <c r="U13" s="9" t="str">
        <f aca="false">IF(AND(C13&lt;&gt;"",IF(K13="","Chưa làm",K13)="Đang làm"),MAX(U$5:U12)+1,"")</f>
        <v/>
      </c>
      <c r="V13" s="9" t="str">
        <f aca="false">IF(AND(C13&lt;&gt;"",IF(K13="","Chưa làm",K13)="Chờ duyệt"),MAX(V$5:V12)+1,"")</f>
        <v/>
      </c>
      <c r="W13" s="9" t="str">
        <f aca="false">IF(AND(C13&lt;&gt;"",IF(K13="","Chưa làm",K13)="Hoàn thành"),MAX(W$5:W12)+1,"")</f>
        <v/>
      </c>
      <c r="X13" s="9" t="str">
        <f aca="false">IF(AND(C13&lt;&gt;"",K13&lt;&gt;"Hoàn thành",N13="1. Làm ngay"),MAX(X$5:X12)+1,"")</f>
        <v/>
      </c>
      <c r="Y13" s="9" t="str">
        <f aca="false">IF(AND(C13&lt;&gt;"",K13&lt;&gt;"Hoàn thành",N13="2. Lên lịch"),MAX(Y$5:Y12)+1,"")</f>
        <v/>
      </c>
      <c r="Z13" s="9" t="str">
        <f aca="false">IF(AND(C13&lt;&gt;"",K13&lt;&gt;"Hoàn thành",N13="3. Giao lại"),MAX(Z$5:Z12)+1,"")</f>
        <v/>
      </c>
      <c r="AA13" s="9" t="str">
        <f aca="false">IF(AND(C13&lt;&gt;"",K13&lt;&gt;"Hoàn thành",N13="4. Để sau"),MAX(AA$5:AA12)+1,"")</f>
        <v/>
      </c>
      <c r="AB13" s="9" t="str">
        <f aca="false">IF(AND(C13&lt;&gt;"",J13&lt;&gt;"",J13&gt;=TUAN!$C$3,J13&lt;=TUAN!$C$3+6),MAX(AB$5:AB12)+1,"")</f>
        <v/>
      </c>
    </row>
    <row r="14" customFormat="false" ht="15" hidden="false" customHeight="false" outlineLevel="0" collapsed="false">
      <c r="A14" s="9" t="str">
        <f aca="false">IF(C14="","","CV"&amp;TEXT(ROW()-5,"000"))</f>
        <v/>
      </c>
      <c r="B14" s="10"/>
      <c r="C14" s="11"/>
      <c r="D14" s="12"/>
      <c r="E14" s="12"/>
      <c r="F14" s="12"/>
      <c r="G14" s="12"/>
      <c r="H14" s="12"/>
      <c r="I14" s="12"/>
      <c r="J14" s="10"/>
      <c r="K14" s="12"/>
      <c r="L14" s="10"/>
      <c r="M14" s="12"/>
      <c r="N14" s="9" t="str">
        <f aca="false">IF(C14="","",IF(AND(H14="Có",I14="Có"),"1. Làm ngay",IF(H14="Có","2. Lên lịch",IF(I14="Có","3. Giao lại","4. Để sau"))))</f>
        <v/>
      </c>
      <c r="O14" s="9" t="str">
        <f aca="true">IF(OR(C14="",J14="",K14="Hoàn thành"),"",J14-TODAY())</f>
        <v/>
      </c>
      <c r="P14" s="9" t="str">
        <f aca="true">IF(C14="","",IF(K14="Hoàn thành",IF(OR(L14="",J14=""),"Xong (thiếu ngày)",IF(L14&lt;=J14,"Xong đúng hạn","Xong trễ")),IF(J14="","Chưa có hạn",IF(J14&lt;TODAY(),"Quá hạn",IF(J14=TODAY(),"Đến hạn hôm nay",IF(J14-TODAY()&lt;=3,"Sắp đến hạn","Trong hạn"))))))</f>
        <v/>
      </c>
      <c r="Q14" s="9" t="str">
        <f aca="false">IF(OR(C14="",J14=""),"",WEEKNUM(J14,21))</f>
        <v/>
      </c>
      <c r="R14" s="2"/>
      <c r="S14" s="9" t="str">
        <f aca="true">IF(AND(C14&lt;&gt;"",K14&lt;&gt;"Hoàn thành",J14&lt;&gt;"",J14&lt;=TODAY()),MAX(S$5:S13)+1,"")</f>
        <v/>
      </c>
      <c r="T14" s="9" t="str">
        <f aca="false">IF(AND(C14&lt;&gt;"",IF(K14="","Chưa làm",K14)="Chưa làm"),MAX(T$5:T13)+1,"")</f>
        <v/>
      </c>
      <c r="U14" s="9" t="str">
        <f aca="false">IF(AND(C14&lt;&gt;"",IF(K14="","Chưa làm",K14)="Đang làm"),MAX(U$5:U13)+1,"")</f>
        <v/>
      </c>
      <c r="V14" s="9" t="str">
        <f aca="false">IF(AND(C14&lt;&gt;"",IF(K14="","Chưa làm",K14)="Chờ duyệt"),MAX(V$5:V13)+1,"")</f>
        <v/>
      </c>
      <c r="W14" s="9" t="str">
        <f aca="false">IF(AND(C14&lt;&gt;"",IF(K14="","Chưa làm",K14)="Hoàn thành"),MAX(W$5:W13)+1,"")</f>
        <v/>
      </c>
      <c r="X14" s="9" t="str">
        <f aca="false">IF(AND(C14&lt;&gt;"",K14&lt;&gt;"Hoàn thành",N14="1. Làm ngay"),MAX(X$5:X13)+1,"")</f>
        <v/>
      </c>
      <c r="Y14" s="9" t="str">
        <f aca="false">IF(AND(C14&lt;&gt;"",K14&lt;&gt;"Hoàn thành",N14="2. Lên lịch"),MAX(Y$5:Y13)+1,"")</f>
        <v/>
      </c>
      <c r="Z14" s="9" t="str">
        <f aca="false">IF(AND(C14&lt;&gt;"",K14&lt;&gt;"Hoàn thành",N14="3. Giao lại"),MAX(Z$5:Z13)+1,"")</f>
        <v/>
      </c>
      <c r="AA14" s="9" t="str">
        <f aca="false">IF(AND(C14&lt;&gt;"",K14&lt;&gt;"Hoàn thành",N14="4. Để sau"),MAX(AA$5:AA13)+1,"")</f>
        <v/>
      </c>
      <c r="AB14" s="9" t="str">
        <f aca="false">IF(AND(C14&lt;&gt;"",J14&lt;&gt;"",J14&gt;=TUAN!$C$3,J14&lt;=TUAN!$C$3+6),MAX(AB$5:AB13)+1,"")</f>
        <v/>
      </c>
    </row>
    <row r="15" customFormat="false" ht="15" hidden="false" customHeight="false" outlineLevel="0" collapsed="false">
      <c r="A15" s="9" t="str">
        <f aca="false">IF(C15="","","CV"&amp;TEXT(ROW()-5,"000"))</f>
        <v/>
      </c>
      <c r="B15" s="10"/>
      <c r="C15" s="11"/>
      <c r="D15" s="12"/>
      <c r="E15" s="12"/>
      <c r="F15" s="12"/>
      <c r="G15" s="12"/>
      <c r="H15" s="12"/>
      <c r="I15" s="12"/>
      <c r="J15" s="10"/>
      <c r="K15" s="12"/>
      <c r="L15" s="10"/>
      <c r="M15" s="12"/>
      <c r="N15" s="9" t="str">
        <f aca="false">IF(C15="","",IF(AND(H15="Có",I15="Có"),"1. Làm ngay",IF(H15="Có","2. Lên lịch",IF(I15="Có","3. Giao lại","4. Để sau"))))</f>
        <v/>
      </c>
      <c r="O15" s="9" t="str">
        <f aca="true">IF(OR(C15="",J15="",K15="Hoàn thành"),"",J15-TODAY())</f>
        <v/>
      </c>
      <c r="P15" s="9" t="str">
        <f aca="true">IF(C15="","",IF(K15="Hoàn thành",IF(OR(L15="",J15=""),"Xong (thiếu ngày)",IF(L15&lt;=J15,"Xong đúng hạn","Xong trễ")),IF(J15="","Chưa có hạn",IF(J15&lt;TODAY(),"Quá hạn",IF(J15=TODAY(),"Đến hạn hôm nay",IF(J15-TODAY()&lt;=3,"Sắp đến hạn","Trong hạn"))))))</f>
        <v/>
      </c>
      <c r="Q15" s="9" t="str">
        <f aca="false">IF(OR(C15="",J15=""),"",WEEKNUM(J15,21))</f>
        <v/>
      </c>
      <c r="R15" s="2"/>
      <c r="S15" s="9" t="str">
        <f aca="true">IF(AND(C15&lt;&gt;"",K15&lt;&gt;"Hoàn thành",J15&lt;&gt;"",J15&lt;=TODAY()),MAX(S$5:S14)+1,"")</f>
        <v/>
      </c>
      <c r="T15" s="9" t="str">
        <f aca="false">IF(AND(C15&lt;&gt;"",IF(K15="","Chưa làm",K15)="Chưa làm"),MAX(T$5:T14)+1,"")</f>
        <v/>
      </c>
      <c r="U15" s="9" t="str">
        <f aca="false">IF(AND(C15&lt;&gt;"",IF(K15="","Chưa làm",K15)="Đang làm"),MAX(U$5:U14)+1,"")</f>
        <v/>
      </c>
      <c r="V15" s="9" t="str">
        <f aca="false">IF(AND(C15&lt;&gt;"",IF(K15="","Chưa làm",K15)="Chờ duyệt"),MAX(V$5:V14)+1,"")</f>
        <v/>
      </c>
      <c r="W15" s="9" t="str">
        <f aca="false">IF(AND(C15&lt;&gt;"",IF(K15="","Chưa làm",K15)="Hoàn thành"),MAX(W$5:W14)+1,"")</f>
        <v/>
      </c>
      <c r="X15" s="9" t="str">
        <f aca="false">IF(AND(C15&lt;&gt;"",K15&lt;&gt;"Hoàn thành",N15="1. Làm ngay"),MAX(X$5:X14)+1,"")</f>
        <v/>
      </c>
      <c r="Y15" s="9" t="str">
        <f aca="false">IF(AND(C15&lt;&gt;"",K15&lt;&gt;"Hoàn thành",N15="2. Lên lịch"),MAX(Y$5:Y14)+1,"")</f>
        <v/>
      </c>
      <c r="Z15" s="9" t="str">
        <f aca="false">IF(AND(C15&lt;&gt;"",K15&lt;&gt;"Hoàn thành",N15="3. Giao lại"),MAX(Z$5:Z14)+1,"")</f>
        <v/>
      </c>
      <c r="AA15" s="9" t="str">
        <f aca="false">IF(AND(C15&lt;&gt;"",K15&lt;&gt;"Hoàn thành",N15="4. Để sau"),MAX(AA$5:AA14)+1,"")</f>
        <v/>
      </c>
      <c r="AB15" s="9" t="str">
        <f aca="false">IF(AND(C15&lt;&gt;"",J15&lt;&gt;"",J15&gt;=TUAN!$C$3,J15&lt;=TUAN!$C$3+6),MAX(AB$5:AB14)+1,"")</f>
        <v/>
      </c>
    </row>
    <row r="16" customFormat="false" ht="15" hidden="false" customHeight="false" outlineLevel="0" collapsed="false">
      <c r="A16" s="9" t="str">
        <f aca="false">IF(C16="","","CV"&amp;TEXT(ROW()-5,"000"))</f>
        <v/>
      </c>
      <c r="B16" s="10"/>
      <c r="C16" s="11"/>
      <c r="D16" s="12"/>
      <c r="E16" s="12"/>
      <c r="F16" s="12"/>
      <c r="G16" s="12"/>
      <c r="H16" s="12"/>
      <c r="I16" s="12"/>
      <c r="J16" s="10"/>
      <c r="K16" s="12"/>
      <c r="L16" s="10"/>
      <c r="M16" s="12"/>
      <c r="N16" s="9" t="str">
        <f aca="false">IF(C16="","",IF(AND(H16="Có",I16="Có"),"1. Làm ngay",IF(H16="Có","2. Lên lịch",IF(I16="Có","3. Giao lại","4. Để sau"))))</f>
        <v/>
      </c>
      <c r="O16" s="9" t="str">
        <f aca="true">IF(OR(C16="",J16="",K16="Hoàn thành"),"",J16-TODAY())</f>
        <v/>
      </c>
      <c r="P16" s="9" t="str">
        <f aca="true">IF(C16="","",IF(K16="Hoàn thành",IF(OR(L16="",J16=""),"Xong (thiếu ngày)",IF(L16&lt;=J16,"Xong đúng hạn","Xong trễ")),IF(J16="","Chưa có hạn",IF(J16&lt;TODAY(),"Quá hạn",IF(J16=TODAY(),"Đến hạn hôm nay",IF(J16-TODAY()&lt;=3,"Sắp đến hạn","Trong hạn"))))))</f>
        <v/>
      </c>
      <c r="Q16" s="9" t="str">
        <f aca="false">IF(OR(C16="",J16=""),"",WEEKNUM(J16,21))</f>
        <v/>
      </c>
      <c r="R16" s="2"/>
      <c r="S16" s="9" t="str">
        <f aca="true">IF(AND(C16&lt;&gt;"",K16&lt;&gt;"Hoàn thành",J16&lt;&gt;"",J16&lt;=TODAY()),MAX(S$5:S15)+1,"")</f>
        <v/>
      </c>
      <c r="T16" s="9" t="str">
        <f aca="false">IF(AND(C16&lt;&gt;"",IF(K16="","Chưa làm",K16)="Chưa làm"),MAX(T$5:T15)+1,"")</f>
        <v/>
      </c>
      <c r="U16" s="9" t="str">
        <f aca="false">IF(AND(C16&lt;&gt;"",IF(K16="","Chưa làm",K16)="Đang làm"),MAX(U$5:U15)+1,"")</f>
        <v/>
      </c>
      <c r="V16" s="9" t="str">
        <f aca="false">IF(AND(C16&lt;&gt;"",IF(K16="","Chưa làm",K16)="Chờ duyệt"),MAX(V$5:V15)+1,"")</f>
        <v/>
      </c>
      <c r="W16" s="9" t="str">
        <f aca="false">IF(AND(C16&lt;&gt;"",IF(K16="","Chưa làm",K16)="Hoàn thành"),MAX(W$5:W15)+1,"")</f>
        <v/>
      </c>
      <c r="X16" s="9" t="str">
        <f aca="false">IF(AND(C16&lt;&gt;"",K16&lt;&gt;"Hoàn thành",N16="1. Làm ngay"),MAX(X$5:X15)+1,"")</f>
        <v/>
      </c>
      <c r="Y16" s="9" t="str">
        <f aca="false">IF(AND(C16&lt;&gt;"",K16&lt;&gt;"Hoàn thành",N16="2. Lên lịch"),MAX(Y$5:Y15)+1,"")</f>
        <v/>
      </c>
      <c r="Z16" s="9" t="str">
        <f aca="false">IF(AND(C16&lt;&gt;"",K16&lt;&gt;"Hoàn thành",N16="3. Giao lại"),MAX(Z$5:Z15)+1,"")</f>
        <v/>
      </c>
      <c r="AA16" s="9" t="str">
        <f aca="false">IF(AND(C16&lt;&gt;"",K16&lt;&gt;"Hoàn thành",N16="4. Để sau"),MAX(AA$5:AA15)+1,"")</f>
        <v/>
      </c>
      <c r="AB16" s="9" t="str">
        <f aca="false">IF(AND(C16&lt;&gt;"",J16&lt;&gt;"",J16&gt;=TUAN!$C$3,J16&lt;=TUAN!$C$3+6),MAX(AB$5:AB15)+1,"")</f>
        <v/>
      </c>
    </row>
    <row r="17" customFormat="false" ht="15" hidden="false" customHeight="false" outlineLevel="0" collapsed="false">
      <c r="A17" s="9" t="str">
        <f aca="false">IF(C17="","","CV"&amp;TEXT(ROW()-5,"000"))</f>
        <v/>
      </c>
      <c r="B17" s="10"/>
      <c r="C17" s="11"/>
      <c r="D17" s="12"/>
      <c r="E17" s="12"/>
      <c r="F17" s="12"/>
      <c r="G17" s="12"/>
      <c r="H17" s="12"/>
      <c r="I17" s="12"/>
      <c r="J17" s="10"/>
      <c r="K17" s="12"/>
      <c r="L17" s="10"/>
      <c r="M17" s="12"/>
      <c r="N17" s="9" t="str">
        <f aca="false">IF(C17="","",IF(AND(H17="Có",I17="Có"),"1. Làm ngay",IF(H17="Có","2. Lên lịch",IF(I17="Có","3. Giao lại","4. Để sau"))))</f>
        <v/>
      </c>
      <c r="O17" s="9" t="str">
        <f aca="true">IF(OR(C17="",J17="",K17="Hoàn thành"),"",J17-TODAY())</f>
        <v/>
      </c>
      <c r="P17" s="9" t="str">
        <f aca="true">IF(C17="","",IF(K17="Hoàn thành",IF(OR(L17="",J17=""),"Xong (thiếu ngày)",IF(L17&lt;=J17,"Xong đúng hạn","Xong trễ")),IF(J17="","Chưa có hạn",IF(J17&lt;TODAY(),"Quá hạn",IF(J17=TODAY(),"Đến hạn hôm nay",IF(J17-TODAY()&lt;=3,"Sắp đến hạn","Trong hạn"))))))</f>
        <v/>
      </c>
      <c r="Q17" s="9" t="str">
        <f aca="false">IF(OR(C17="",J17=""),"",WEEKNUM(J17,21))</f>
        <v/>
      </c>
      <c r="R17" s="2"/>
      <c r="S17" s="9" t="str">
        <f aca="true">IF(AND(C17&lt;&gt;"",K17&lt;&gt;"Hoàn thành",J17&lt;&gt;"",J17&lt;=TODAY()),MAX(S$5:S16)+1,"")</f>
        <v/>
      </c>
      <c r="T17" s="9" t="str">
        <f aca="false">IF(AND(C17&lt;&gt;"",IF(K17="","Chưa làm",K17)="Chưa làm"),MAX(T$5:T16)+1,"")</f>
        <v/>
      </c>
      <c r="U17" s="9" t="str">
        <f aca="false">IF(AND(C17&lt;&gt;"",IF(K17="","Chưa làm",K17)="Đang làm"),MAX(U$5:U16)+1,"")</f>
        <v/>
      </c>
      <c r="V17" s="9" t="str">
        <f aca="false">IF(AND(C17&lt;&gt;"",IF(K17="","Chưa làm",K17)="Chờ duyệt"),MAX(V$5:V16)+1,"")</f>
        <v/>
      </c>
      <c r="W17" s="9" t="str">
        <f aca="false">IF(AND(C17&lt;&gt;"",IF(K17="","Chưa làm",K17)="Hoàn thành"),MAX(W$5:W16)+1,"")</f>
        <v/>
      </c>
      <c r="X17" s="9" t="str">
        <f aca="false">IF(AND(C17&lt;&gt;"",K17&lt;&gt;"Hoàn thành",N17="1. Làm ngay"),MAX(X$5:X16)+1,"")</f>
        <v/>
      </c>
      <c r="Y17" s="9" t="str">
        <f aca="false">IF(AND(C17&lt;&gt;"",K17&lt;&gt;"Hoàn thành",N17="2. Lên lịch"),MAX(Y$5:Y16)+1,"")</f>
        <v/>
      </c>
      <c r="Z17" s="9" t="str">
        <f aca="false">IF(AND(C17&lt;&gt;"",K17&lt;&gt;"Hoàn thành",N17="3. Giao lại"),MAX(Z$5:Z16)+1,"")</f>
        <v/>
      </c>
      <c r="AA17" s="9" t="str">
        <f aca="false">IF(AND(C17&lt;&gt;"",K17&lt;&gt;"Hoàn thành",N17="4. Để sau"),MAX(AA$5:AA16)+1,"")</f>
        <v/>
      </c>
      <c r="AB17" s="9" t="str">
        <f aca="false">IF(AND(C17&lt;&gt;"",J17&lt;&gt;"",J17&gt;=TUAN!$C$3,J17&lt;=TUAN!$C$3+6),MAX(AB$5:AB16)+1,"")</f>
        <v/>
      </c>
    </row>
    <row r="18" customFormat="false" ht="15" hidden="false" customHeight="false" outlineLevel="0" collapsed="false">
      <c r="A18" s="9" t="str">
        <f aca="false">IF(C18="","","CV"&amp;TEXT(ROW()-5,"000"))</f>
        <v/>
      </c>
      <c r="B18" s="10"/>
      <c r="C18" s="11"/>
      <c r="D18" s="12"/>
      <c r="E18" s="12"/>
      <c r="F18" s="12"/>
      <c r="G18" s="12"/>
      <c r="H18" s="12"/>
      <c r="I18" s="12"/>
      <c r="J18" s="10"/>
      <c r="K18" s="12"/>
      <c r="L18" s="10"/>
      <c r="M18" s="12"/>
      <c r="N18" s="9" t="str">
        <f aca="false">IF(C18="","",IF(AND(H18="Có",I18="Có"),"1. Làm ngay",IF(H18="Có","2. Lên lịch",IF(I18="Có","3. Giao lại","4. Để sau"))))</f>
        <v/>
      </c>
      <c r="O18" s="9" t="str">
        <f aca="true">IF(OR(C18="",J18="",K18="Hoàn thành"),"",J18-TODAY())</f>
        <v/>
      </c>
      <c r="P18" s="9" t="str">
        <f aca="true">IF(C18="","",IF(K18="Hoàn thành",IF(OR(L18="",J18=""),"Xong (thiếu ngày)",IF(L18&lt;=J18,"Xong đúng hạn","Xong trễ")),IF(J18="","Chưa có hạn",IF(J18&lt;TODAY(),"Quá hạn",IF(J18=TODAY(),"Đến hạn hôm nay",IF(J18-TODAY()&lt;=3,"Sắp đến hạn","Trong hạn"))))))</f>
        <v/>
      </c>
      <c r="Q18" s="9" t="str">
        <f aca="false">IF(OR(C18="",J18=""),"",WEEKNUM(J18,21))</f>
        <v/>
      </c>
      <c r="R18" s="2"/>
      <c r="S18" s="9" t="str">
        <f aca="true">IF(AND(C18&lt;&gt;"",K18&lt;&gt;"Hoàn thành",J18&lt;&gt;"",J18&lt;=TODAY()),MAX(S$5:S17)+1,"")</f>
        <v/>
      </c>
      <c r="T18" s="9" t="str">
        <f aca="false">IF(AND(C18&lt;&gt;"",IF(K18="","Chưa làm",K18)="Chưa làm"),MAX(T$5:T17)+1,"")</f>
        <v/>
      </c>
      <c r="U18" s="9" t="str">
        <f aca="false">IF(AND(C18&lt;&gt;"",IF(K18="","Chưa làm",K18)="Đang làm"),MAX(U$5:U17)+1,"")</f>
        <v/>
      </c>
      <c r="V18" s="9" t="str">
        <f aca="false">IF(AND(C18&lt;&gt;"",IF(K18="","Chưa làm",K18)="Chờ duyệt"),MAX(V$5:V17)+1,"")</f>
        <v/>
      </c>
      <c r="W18" s="9" t="str">
        <f aca="false">IF(AND(C18&lt;&gt;"",IF(K18="","Chưa làm",K18)="Hoàn thành"),MAX(W$5:W17)+1,"")</f>
        <v/>
      </c>
      <c r="X18" s="9" t="str">
        <f aca="false">IF(AND(C18&lt;&gt;"",K18&lt;&gt;"Hoàn thành",N18="1. Làm ngay"),MAX(X$5:X17)+1,"")</f>
        <v/>
      </c>
      <c r="Y18" s="9" t="str">
        <f aca="false">IF(AND(C18&lt;&gt;"",K18&lt;&gt;"Hoàn thành",N18="2. Lên lịch"),MAX(Y$5:Y17)+1,"")</f>
        <v/>
      </c>
      <c r="Z18" s="9" t="str">
        <f aca="false">IF(AND(C18&lt;&gt;"",K18&lt;&gt;"Hoàn thành",N18="3. Giao lại"),MAX(Z$5:Z17)+1,"")</f>
        <v/>
      </c>
      <c r="AA18" s="9" t="str">
        <f aca="false">IF(AND(C18&lt;&gt;"",K18&lt;&gt;"Hoàn thành",N18="4. Để sau"),MAX(AA$5:AA17)+1,"")</f>
        <v/>
      </c>
      <c r="AB18" s="9" t="str">
        <f aca="false">IF(AND(C18&lt;&gt;"",J18&lt;&gt;"",J18&gt;=TUAN!$C$3,J18&lt;=TUAN!$C$3+6),MAX(AB$5:AB17)+1,"")</f>
        <v/>
      </c>
    </row>
    <row r="19" customFormat="false" ht="15" hidden="false" customHeight="false" outlineLevel="0" collapsed="false">
      <c r="A19" s="9" t="str">
        <f aca="false">IF(C19="","","CV"&amp;TEXT(ROW()-5,"000"))</f>
        <v/>
      </c>
      <c r="B19" s="10"/>
      <c r="C19" s="11"/>
      <c r="D19" s="12"/>
      <c r="E19" s="12"/>
      <c r="F19" s="12"/>
      <c r="G19" s="12"/>
      <c r="H19" s="12"/>
      <c r="I19" s="12"/>
      <c r="J19" s="10"/>
      <c r="K19" s="12"/>
      <c r="L19" s="10"/>
      <c r="M19" s="12"/>
      <c r="N19" s="9" t="str">
        <f aca="false">IF(C19="","",IF(AND(H19="Có",I19="Có"),"1. Làm ngay",IF(H19="Có","2. Lên lịch",IF(I19="Có","3. Giao lại","4. Để sau"))))</f>
        <v/>
      </c>
      <c r="O19" s="9" t="str">
        <f aca="true">IF(OR(C19="",J19="",K19="Hoàn thành"),"",J19-TODAY())</f>
        <v/>
      </c>
      <c r="P19" s="9" t="str">
        <f aca="true">IF(C19="","",IF(K19="Hoàn thành",IF(OR(L19="",J19=""),"Xong (thiếu ngày)",IF(L19&lt;=J19,"Xong đúng hạn","Xong trễ")),IF(J19="","Chưa có hạn",IF(J19&lt;TODAY(),"Quá hạn",IF(J19=TODAY(),"Đến hạn hôm nay",IF(J19-TODAY()&lt;=3,"Sắp đến hạn","Trong hạn"))))))</f>
        <v/>
      </c>
      <c r="Q19" s="9" t="str">
        <f aca="false">IF(OR(C19="",J19=""),"",WEEKNUM(J19,21))</f>
        <v/>
      </c>
      <c r="R19" s="2"/>
      <c r="S19" s="9" t="str">
        <f aca="true">IF(AND(C19&lt;&gt;"",K19&lt;&gt;"Hoàn thành",J19&lt;&gt;"",J19&lt;=TODAY()),MAX(S$5:S18)+1,"")</f>
        <v/>
      </c>
      <c r="T19" s="9" t="str">
        <f aca="false">IF(AND(C19&lt;&gt;"",IF(K19="","Chưa làm",K19)="Chưa làm"),MAX(T$5:T18)+1,"")</f>
        <v/>
      </c>
      <c r="U19" s="9" t="str">
        <f aca="false">IF(AND(C19&lt;&gt;"",IF(K19="","Chưa làm",K19)="Đang làm"),MAX(U$5:U18)+1,"")</f>
        <v/>
      </c>
      <c r="V19" s="9" t="str">
        <f aca="false">IF(AND(C19&lt;&gt;"",IF(K19="","Chưa làm",K19)="Chờ duyệt"),MAX(V$5:V18)+1,"")</f>
        <v/>
      </c>
      <c r="W19" s="9" t="str">
        <f aca="false">IF(AND(C19&lt;&gt;"",IF(K19="","Chưa làm",K19)="Hoàn thành"),MAX(W$5:W18)+1,"")</f>
        <v/>
      </c>
      <c r="X19" s="9" t="str">
        <f aca="false">IF(AND(C19&lt;&gt;"",K19&lt;&gt;"Hoàn thành",N19="1. Làm ngay"),MAX(X$5:X18)+1,"")</f>
        <v/>
      </c>
      <c r="Y19" s="9" t="str">
        <f aca="false">IF(AND(C19&lt;&gt;"",K19&lt;&gt;"Hoàn thành",N19="2. Lên lịch"),MAX(Y$5:Y18)+1,"")</f>
        <v/>
      </c>
      <c r="Z19" s="9" t="str">
        <f aca="false">IF(AND(C19&lt;&gt;"",K19&lt;&gt;"Hoàn thành",N19="3. Giao lại"),MAX(Z$5:Z18)+1,"")</f>
        <v/>
      </c>
      <c r="AA19" s="9" t="str">
        <f aca="false">IF(AND(C19&lt;&gt;"",K19&lt;&gt;"Hoàn thành",N19="4. Để sau"),MAX(AA$5:AA18)+1,"")</f>
        <v/>
      </c>
      <c r="AB19" s="9" t="str">
        <f aca="false">IF(AND(C19&lt;&gt;"",J19&lt;&gt;"",J19&gt;=TUAN!$C$3,J19&lt;=TUAN!$C$3+6),MAX(AB$5:AB18)+1,"")</f>
        <v/>
      </c>
    </row>
    <row r="20" customFormat="false" ht="15" hidden="false" customHeight="false" outlineLevel="0" collapsed="false">
      <c r="A20" s="9" t="str">
        <f aca="false">IF(C20="","","CV"&amp;TEXT(ROW()-5,"000"))</f>
        <v/>
      </c>
      <c r="B20" s="10"/>
      <c r="C20" s="11"/>
      <c r="D20" s="12"/>
      <c r="E20" s="12"/>
      <c r="F20" s="12"/>
      <c r="G20" s="12"/>
      <c r="H20" s="12"/>
      <c r="I20" s="12"/>
      <c r="J20" s="10"/>
      <c r="K20" s="12"/>
      <c r="L20" s="10"/>
      <c r="M20" s="12"/>
      <c r="N20" s="9" t="str">
        <f aca="false">IF(C20="","",IF(AND(H20="Có",I20="Có"),"1. Làm ngay",IF(H20="Có","2. Lên lịch",IF(I20="Có","3. Giao lại","4. Để sau"))))</f>
        <v/>
      </c>
      <c r="O20" s="9" t="str">
        <f aca="true">IF(OR(C20="",J20="",K20="Hoàn thành"),"",J20-TODAY())</f>
        <v/>
      </c>
      <c r="P20" s="9" t="str">
        <f aca="true">IF(C20="","",IF(K20="Hoàn thành",IF(OR(L20="",J20=""),"Xong (thiếu ngày)",IF(L20&lt;=J20,"Xong đúng hạn","Xong trễ")),IF(J20="","Chưa có hạn",IF(J20&lt;TODAY(),"Quá hạn",IF(J20=TODAY(),"Đến hạn hôm nay",IF(J20-TODAY()&lt;=3,"Sắp đến hạn","Trong hạn"))))))</f>
        <v/>
      </c>
      <c r="Q20" s="9" t="str">
        <f aca="false">IF(OR(C20="",J20=""),"",WEEKNUM(J20,21))</f>
        <v/>
      </c>
      <c r="R20" s="2"/>
      <c r="S20" s="9" t="str">
        <f aca="true">IF(AND(C20&lt;&gt;"",K20&lt;&gt;"Hoàn thành",J20&lt;&gt;"",J20&lt;=TODAY()),MAX(S$5:S19)+1,"")</f>
        <v/>
      </c>
      <c r="T20" s="9" t="str">
        <f aca="false">IF(AND(C20&lt;&gt;"",IF(K20="","Chưa làm",K20)="Chưa làm"),MAX(T$5:T19)+1,"")</f>
        <v/>
      </c>
      <c r="U20" s="9" t="str">
        <f aca="false">IF(AND(C20&lt;&gt;"",IF(K20="","Chưa làm",K20)="Đang làm"),MAX(U$5:U19)+1,"")</f>
        <v/>
      </c>
      <c r="V20" s="9" t="str">
        <f aca="false">IF(AND(C20&lt;&gt;"",IF(K20="","Chưa làm",K20)="Chờ duyệt"),MAX(V$5:V19)+1,"")</f>
        <v/>
      </c>
      <c r="W20" s="9" t="str">
        <f aca="false">IF(AND(C20&lt;&gt;"",IF(K20="","Chưa làm",K20)="Hoàn thành"),MAX(W$5:W19)+1,"")</f>
        <v/>
      </c>
      <c r="X20" s="9" t="str">
        <f aca="false">IF(AND(C20&lt;&gt;"",K20&lt;&gt;"Hoàn thành",N20="1. Làm ngay"),MAX(X$5:X19)+1,"")</f>
        <v/>
      </c>
      <c r="Y20" s="9" t="str">
        <f aca="false">IF(AND(C20&lt;&gt;"",K20&lt;&gt;"Hoàn thành",N20="2. Lên lịch"),MAX(Y$5:Y19)+1,"")</f>
        <v/>
      </c>
      <c r="Z20" s="9" t="str">
        <f aca="false">IF(AND(C20&lt;&gt;"",K20&lt;&gt;"Hoàn thành",N20="3. Giao lại"),MAX(Z$5:Z19)+1,"")</f>
        <v/>
      </c>
      <c r="AA20" s="9" t="str">
        <f aca="false">IF(AND(C20&lt;&gt;"",K20&lt;&gt;"Hoàn thành",N20="4. Để sau"),MAX(AA$5:AA19)+1,"")</f>
        <v/>
      </c>
      <c r="AB20" s="9" t="str">
        <f aca="false">IF(AND(C20&lt;&gt;"",J20&lt;&gt;"",J20&gt;=TUAN!$C$3,J20&lt;=TUAN!$C$3+6),MAX(AB$5:AB19)+1,"")</f>
        <v/>
      </c>
    </row>
    <row r="21" customFormat="false" ht="15" hidden="false" customHeight="false" outlineLevel="0" collapsed="false">
      <c r="A21" s="9" t="str">
        <f aca="false">IF(C21="","","CV"&amp;TEXT(ROW()-5,"000"))</f>
        <v/>
      </c>
      <c r="B21" s="10"/>
      <c r="C21" s="11"/>
      <c r="D21" s="12"/>
      <c r="E21" s="12"/>
      <c r="F21" s="12"/>
      <c r="G21" s="12"/>
      <c r="H21" s="12"/>
      <c r="I21" s="12"/>
      <c r="J21" s="10"/>
      <c r="K21" s="12"/>
      <c r="L21" s="10"/>
      <c r="M21" s="12"/>
      <c r="N21" s="9" t="str">
        <f aca="false">IF(C21="","",IF(AND(H21="Có",I21="Có"),"1. Làm ngay",IF(H21="Có","2. Lên lịch",IF(I21="Có","3. Giao lại","4. Để sau"))))</f>
        <v/>
      </c>
      <c r="O21" s="9" t="str">
        <f aca="true">IF(OR(C21="",J21="",K21="Hoàn thành"),"",J21-TODAY())</f>
        <v/>
      </c>
      <c r="P21" s="9" t="str">
        <f aca="true">IF(C21="","",IF(K21="Hoàn thành",IF(OR(L21="",J21=""),"Xong (thiếu ngày)",IF(L21&lt;=J21,"Xong đúng hạn","Xong trễ")),IF(J21="","Chưa có hạn",IF(J21&lt;TODAY(),"Quá hạn",IF(J21=TODAY(),"Đến hạn hôm nay",IF(J21-TODAY()&lt;=3,"Sắp đến hạn","Trong hạn"))))))</f>
        <v/>
      </c>
      <c r="Q21" s="9" t="str">
        <f aca="false">IF(OR(C21="",J21=""),"",WEEKNUM(J21,21))</f>
        <v/>
      </c>
      <c r="R21" s="2"/>
      <c r="S21" s="9" t="str">
        <f aca="true">IF(AND(C21&lt;&gt;"",K21&lt;&gt;"Hoàn thành",J21&lt;&gt;"",J21&lt;=TODAY()),MAX(S$5:S20)+1,"")</f>
        <v/>
      </c>
      <c r="T21" s="9" t="str">
        <f aca="false">IF(AND(C21&lt;&gt;"",IF(K21="","Chưa làm",K21)="Chưa làm"),MAX(T$5:T20)+1,"")</f>
        <v/>
      </c>
      <c r="U21" s="9" t="str">
        <f aca="false">IF(AND(C21&lt;&gt;"",IF(K21="","Chưa làm",K21)="Đang làm"),MAX(U$5:U20)+1,"")</f>
        <v/>
      </c>
      <c r="V21" s="9" t="str">
        <f aca="false">IF(AND(C21&lt;&gt;"",IF(K21="","Chưa làm",K21)="Chờ duyệt"),MAX(V$5:V20)+1,"")</f>
        <v/>
      </c>
      <c r="W21" s="9" t="str">
        <f aca="false">IF(AND(C21&lt;&gt;"",IF(K21="","Chưa làm",K21)="Hoàn thành"),MAX(W$5:W20)+1,"")</f>
        <v/>
      </c>
      <c r="X21" s="9" t="str">
        <f aca="false">IF(AND(C21&lt;&gt;"",K21&lt;&gt;"Hoàn thành",N21="1. Làm ngay"),MAX(X$5:X20)+1,"")</f>
        <v/>
      </c>
      <c r="Y21" s="9" t="str">
        <f aca="false">IF(AND(C21&lt;&gt;"",K21&lt;&gt;"Hoàn thành",N21="2. Lên lịch"),MAX(Y$5:Y20)+1,"")</f>
        <v/>
      </c>
      <c r="Z21" s="9" t="str">
        <f aca="false">IF(AND(C21&lt;&gt;"",K21&lt;&gt;"Hoàn thành",N21="3. Giao lại"),MAX(Z$5:Z20)+1,"")</f>
        <v/>
      </c>
      <c r="AA21" s="9" t="str">
        <f aca="false">IF(AND(C21&lt;&gt;"",K21&lt;&gt;"Hoàn thành",N21="4. Để sau"),MAX(AA$5:AA20)+1,"")</f>
        <v/>
      </c>
      <c r="AB21" s="9" t="str">
        <f aca="false">IF(AND(C21&lt;&gt;"",J21&lt;&gt;"",J21&gt;=TUAN!$C$3,J21&lt;=TUAN!$C$3+6),MAX(AB$5:AB20)+1,"")</f>
        <v/>
      </c>
    </row>
    <row r="22" customFormat="false" ht="15" hidden="false" customHeight="false" outlineLevel="0" collapsed="false">
      <c r="A22" s="9" t="str">
        <f aca="false">IF(C22="","","CV"&amp;TEXT(ROW()-5,"000"))</f>
        <v/>
      </c>
      <c r="B22" s="10"/>
      <c r="C22" s="11"/>
      <c r="D22" s="12"/>
      <c r="E22" s="12"/>
      <c r="F22" s="12"/>
      <c r="G22" s="12"/>
      <c r="H22" s="12"/>
      <c r="I22" s="12"/>
      <c r="J22" s="10"/>
      <c r="K22" s="12"/>
      <c r="L22" s="10"/>
      <c r="M22" s="12"/>
      <c r="N22" s="9" t="str">
        <f aca="false">IF(C22="","",IF(AND(H22="Có",I22="Có"),"1. Làm ngay",IF(H22="Có","2. Lên lịch",IF(I22="Có","3. Giao lại","4. Để sau"))))</f>
        <v/>
      </c>
      <c r="O22" s="9" t="str">
        <f aca="true">IF(OR(C22="",J22="",K22="Hoàn thành"),"",J22-TODAY())</f>
        <v/>
      </c>
      <c r="P22" s="9" t="str">
        <f aca="true">IF(C22="","",IF(K22="Hoàn thành",IF(OR(L22="",J22=""),"Xong (thiếu ngày)",IF(L22&lt;=J22,"Xong đúng hạn","Xong trễ")),IF(J22="","Chưa có hạn",IF(J22&lt;TODAY(),"Quá hạn",IF(J22=TODAY(),"Đến hạn hôm nay",IF(J22-TODAY()&lt;=3,"Sắp đến hạn","Trong hạn"))))))</f>
        <v/>
      </c>
      <c r="Q22" s="9" t="str">
        <f aca="false">IF(OR(C22="",J22=""),"",WEEKNUM(J22,21))</f>
        <v/>
      </c>
      <c r="R22" s="2"/>
      <c r="S22" s="9" t="str">
        <f aca="true">IF(AND(C22&lt;&gt;"",K22&lt;&gt;"Hoàn thành",J22&lt;&gt;"",J22&lt;=TODAY()),MAX(S$5:S21)+1,"")</f>
        <v/>
      </c>
      <c r="T22" s="9" t="str">
        <f aca="false">IF(AND(C22&lt;&gt;"",IF(K22="","Chưa làm",K22)="Chưa làm"),MAX(T$5:T21)+1,"")</f>
        <v/>
      </c>
      <c r="U22" s="9" t="str">
        <f aca="false">IF(AND(C22&lt;&gt;"",IF(K22="","Chưa làm",K22)="Đang làm"),MAX(U$5:U21)+1,"")</f>
        <v/>
      </c>
      <c r="V22" s="9" t="str">
        <f aca="false">IF(AND(C22&lt;&gt;"",IF(K22="","Chưa làm",K22)="Chờ duyệt"),MAX(V$5:V21)+1,"")</f>
        <v/>
      </c>
      <c r="W22" s="9" t="str">
        <f aca="false">IF(AND(C22&lt;&gt;"",IF(K22="","Chưa làm",K22)="Hoàn thành"),MAX(W$5:W21)+1,"")</f>
        <v/>
      </c>
      <c r="X22" s="9" t="str">
        <f aca="false">IF(AND(C22&lt;&gt;"",K22&lt;&gt;"Hoàn thành",N22="1. Làm ngay"),MAX(X$5:X21)+1,"")</f>
        <v/>
      </c>
      <c r="Y22" s="9" t="str">
        <f aca="false">IF(AND(C22&lt;&gt;"",K22&lt;&gt;"Hoàn thành",N22="2. Lên lịch"),MAX(Y$5:Y21)+1,"")</f>
        <v/>
      </c>
      <c r="Z22" s="9" t="str">
        <f aca="false">IF(AND(C22&lt;&gt;"",K22&lt;&gt;"Hoàn thành",N22="3. Giao lại"),MAX(Z$5:Z21)+1,"")</f>
        <v/>
      </c>
      <c r="AA22" s="9" t="str">
        <f aca="false">IF(AND(C22&lt;&gt;"",K22&lt;&gt;"Hoàn thành",N22="4. Để sau"),MAX(AA$5:AA21)+1,"")</f>
        <v/>
      </c>
      <c r="AB22" s="9" t="str">
        <f aca="false">IF(AND(C22&lt;&gt;"",J22&lt;&gt;"",J22&gt;=TUAN!$C$3,J22&lt;=TUAN!$C$3+6),MAX(AB$5:AB21)+1,"")</f>
        <v/>
      </c>
    </row>
    <row r="23" customFormat="false" ht="15" hidden="false" customHeight="false" outlineLevel="0" collapsed="false">
      <c r="A23" s="9" t="str">
        <f aca="false">IF(C23="","","CV"&amp;TEXT(ROW()-5,"000"))</f>
        <v/>
      </c>
      <c r="B23" s="10"/>
      <c r="C23" s="11"/>
      <c r="D23" s="12"/>
      <c r="E23" s="12"/>
      <c r="F23" s="12"/>
      <c r="G23" s="12"/>
      <c r="H23" s="12"/>
      <c r="I23" s="12"/>
      <c r="J23" s="10"/>
      <c r="K23" s="12"/>
      <c r="L23" s="10"/>
      <c r="M23" s="12"/>
      <c r="N23" s="9" t="str">
        <f aca="false">IF(C23="","",IF(AND(H23="Có",I23="Có"),"1. Làm ngay",IF(H23="Có","2. Lên lịch",IF(I23="Có","3. Giao lại","4. Để sau"))))</f>
        <v/>
      </c>
      <c r="O23" s="9" t="str">
        <f aca="true">IF(OR(C23="",J23="",K23="Hoàn thành"),"",J23-TODAY())</f>
        <v/>
      </c>
      <c r="P23" s="9" t="str">
        <f aca="true">IF(C23="","",IF(K23="Hoàn thành",IF(OR(L23="",J23=""),"Xong (thiếu ngày)",IF(L23&lt;=J23,"Xong đúng hạn","Xong trễ")),IF(J23="","Chưa có hạn",IF(J23&lt;TODAY(),"Quá hạn",IF(J23=TODAY(),"Đến hạn hôm nay",IF(J23-TODAY()&lt;=3,"Sắp đến hạn","Trong hạn"))))))</f>
        <v/>
      </c>
      <c r="Q23" s="9" t="str">
        <f aca="false">IF(OR(C23="",J23=""),"",WEEKNUM(J23,21))</f>
        <v/>
      </c>
      <c r="R23" s="2"/>
      <c r="S23" s="9" t="str">
        <f aca="true">IF(AND(C23&lt;&gt;"",K23&lt;&gt;"Hoàn thành",J23&lt;&gt;"",J23&lt;=TODAY()),MAX(S$5:S22)+1,"")</f>
        <v/>
      </c>
      <c r="T23" s="9" t="str">
        <f aca="false">IF(AND(C23&lt;&gt;"",IF(K23="","Chưa làm",K23)="Chưa làm"),MAX(T$5:T22)+1,"")</f>
        <v/>
      </c>
      <c r="U23" s="9" t="str">
        <f aca="false">IF(AND(C23&lt;&gt;"",IF(K23="","Chưa làm",K23)="Đang làm"),MAX(U$5:U22)+1,"")</f>
        <v/>
      </c>
      <c r="V23" s="9" t="str">
        <f aca="false">IF(AND(C23&lt;&gt;"",IF(K23="","Chưa làm",K23)="Chờ duyệt"),MAX(V$5:V22)+1,"")</f>
        <v/>
      </c>
      <c r="W23" s="9" t="str">
        <f aca="false">IF(AND(C23&lt;&gt;"",IF(K23="","Chưa làm",K23)="Hoàn thành"),MAX(W$5:W22)+1,"")</f>
        <v/>
      </c>
      <c r="X23" s="9" t="str">
        <f aca="false">IF(AND(C23&lt;&gt;"",K23&lt;&gt;"Hoàn thành",N23="1. Làm ngay"),MAX(X$5:X22)+1,"")</f>
        <v/>
      </c>
      <c r="Y23" s="9" t="str">
        <f aca="false">IF(AND(C23&lt;&gt;"",K23&lt;&gt;"Hoàn thành",N23="2. Lên lịch"),MAX(Y$5:Y22)+1,"")</f>
        <v/>
      </c>
      <c r="Z23" s="9" t="str">
        <f aca="false">IF(AND(C23&lt;&gt;"",K23&lt;&gt;"Hoàn thành",N23="3. Giao lại"),MAX(Z$5:Z22)+1,"")</f>
        <v/>
      </c>
      <c r="AA23" s="9" t="str">
        <f aca="false">IF(AND(C23&lt;&gt;"",K23&lt;&gt;"Hoàn thành",N23="4. Để sau"),MAX(AA$5:AA22)+1,"")</f>
        <v/>
      </c>
      <c r="AB23" s="9" t="str">
        <f aca="false">IF(AND(C23&lt;&gt;"",J23&lt;&gt;"",J23&gt;=TUAN!$C$3,J23&lt;=TUAN!$C$3+6),MAX(AB$5:AB22)+1,"")</f>
        <v/>
      </c>
    </row>
    <row r="24" customFormat="false" ht="15" hidden="false" customHeight="false" outlineLevel="0" collapsed="false">
      <c r="A24" s="9" t="str">
        <f aca="false">IF(C24="","","CV"&amp;TEXT(ROW()-5,"000"))</f>
        <v/>
      </c>
      <c r="B24" s="10"/>
      <c r="C24" s="11"/>
      <c r="D24" s="12"/>
      <c r="E24" s="12"/>
      <c r="F24" s="12"/>
      <c r="G24" s="12"/>
      <c r="H24" s="12"/>
      <c r="I24" s="12"/>
      <c r="J24" s="10"/>
      <c r="K24" s="12"/>
      <c r="L24" s="10"/>
      <c r="M24" s="12"/>
      <c r="N24" s="9" t="str">
        <f aca="false">IF(C24="","",IF(AND(H24="Có",I24="Có"),"1. Làm ngay",IF(H24="Có","2. Lên lịch",IF(I24="Có","3. Giao lại","4. Để sau"))))</f>
        <v/>
      </c>
      <c r="O24" s="9" t="str">
        <f aca="true">IF(OR(C24="",J24="",K24="Hoàn thành"),"",J24-TODAY())</f>
        <v/>
      </c>
      <c r="P24" s="9" t="str">
        <f aca="true">IF(C24="","",IF(K24="Hoàn thành",IF(OR(L24="",J24=""),"Xong (thiếu ngày)",IF(L24&lt;=J24,"Xong đúng hạn","Xong trễ")),IF(J24="","Chưa có hạn",IF(J24&lt;TODAY(),"Quá hạn",IF(J24=TODAY(),"Đến hạn hôm nay",IF(J24-TODAY()&lt;=3,"Sắp đến hạn","Trong hạn"))))))</f>
        <v/>
      </c>
      <c r="Q24" s="9" t="str">
        <f aca="false">IF(OR(C24="",J24=""),"",WEEKNUM(J24,21))</f>
        <v/>
      </c>
      <c r="R24" s="2"/>
      <c r="S24" s="9" t="str">
        <f aca="true">IF(AND(C24&lt;&gt;"",K24&lt;&gt;"Hoàn thành",J24&lt;&gt;"",J24&lt;=TODAY()),MAX(S$5:S23)+1,"")</f>
        <v/>
      </c>
      <c r="T24" s="9" t="str">
        <f aca="false">IF(AND(C24&lt;&gt;"",IF(K24="","Chưa làm",K24)="Chưa làm"),MAX(T$5:T23)+1,"")</f>
        <v/>
      </c>
      <c r="U24" s="9" t="str">
        <f aca="false">IF(AND(C24&lt;&gt;"",IF(K24="","Chưa làm",K24)="Đang làm"),MAX(U$5:U23)+1,"")</f>
        <v/>
      </c>
      <c r="V24" s="9" t="str">
        <f aca="false">IF(AND(C24&lt;&gt;"",IF(K24="","Chưa làm",K24)="Chờ duyệt"),MAX(V$5:V23)+1,"")</f>
        <v/>
      </c>
      <c r="W24" s="9" t="str">
        <f aca="false">IF(AND(C24&lt;&gt;"",IF(K24="","Chưa làm",K24)="Hoàn thành"),MAX(W$5:W23)+1,"")</f>
        <v/>
      </c>
      <c r="X24" s="9" t="str">
        <f aca="false">IF(AND(C24&lt;&gt;"",K24&lt;&gt;"Hoàn thành",N24="1. Làm ngay"),MAX(X$5:X23)+1,"")</f>
        <v/>
      </c>
      <c r="Y24" s="9" t="str">
        <f aca="false">IF(AND(C24&lt;&gt;"",K24&lt;&gt;"Hoàn thành",N24="2. Lên lịch"),MAX(Y$5:Y23)+1,"")</f>
        <v/>
      </c>
      <c r="Z24" s="9" t="str">
        <f aca="false">IF(AND(C24&lt;&gt;"",K24&lt;&gt;"Hoàn thành",N24="3. Giao lại"),MAX(Z$5:Z23)+1,"")</f>
        <v/>
      </c>
      <c r="AA24" s="9" t="str">
        <f aca="false">IF(AND(C24&lt;&gt;"",K24&lt;&gt;"Hoàn thành",N24="4. Để sau"),MAX(AA$5:AA23)+1,"")</f>
        <v/>
      </c>
      <c r="AB24" s="9" t="str">
        <f aca="false">IF(AND(C24&lt;&gt;"",J24&lt;&gt;"",J24&gt;=TUAN!$C$3,J24&lt;=TUAN!$C$3+6),MAX(AB$5:AB23)+1,"")</f>
        <v/>
      </c>
    </row>
    <row r="25" customFormat="false" ht="15" hidden="false" customHeight="false" outlineLevel="0" collapsed="false">
      <c r="A25" s="9" t="str">
        <f aca="false">IF(C25="","","CV"&amp;TEXT(ROW()-5,"000"))</f>
        <v/>
      </c>
      <c r="B25" s="10"/>
      <c r="C25" s="11"/>
      <c r="D25" s="12"/>
      <c r="E25" s="12"/>
      <c r="F25" s="12"/>
      <c r="G25" s="12"/>
      <c r="H25" s="12"/>
      <c r="I25" s="12"/>
      <c r="J25" s="10"/>
      <c r="K25" s="12"/>
      <c r="L25" s="10"/>
      <c r="M25" s="12"/>
      <c r="N25" s="9" t="str">
        <f aca="false">IF(C25="","",IF(AND(H25="Có",I25="Có"),"1. Làm ngay",IF(H25="Có","2. Lên lịch",IF(I25="Có","3. Giao lại","4. Để sau"))))</f>
        <v/>
      </c>
      <c r="O25" s="9" t="str">
        <f aca="true">IF(OR(C25="",J25="",K25="Hoàn thành"),"",J25-TODAY())</f>
        <v/>
      </c>
      <c r="P25" s="9" t="str">
        <f aca="true">IF(C25="","",IF(K25="Hoàn thành",IF(OR(L25="",J25=""),"Xong (thiếu ngày)",IF(L25&lt;=J25,"Xong đúng hạn","Xong trễ")),IF(J25="","Chưa có hạn",IF(J25&lt;TODAY(),"Quá hạn",IF(J25=TODAY(),"Đến hạn hôm nay",IF(J25-TODAY()&lt;=3,"Sắp đến hạn","Trong hạn"))))))</f>
        <v/>
      </c>
      <c r="Q25" s="9" t="str">
        <f aca="false">IF(OR(C25="",J25=""),"",WEEKNUM(J25,21))</f>
        <v/>
      </c>
      <c r="R25" s="2"/>
      <c r="S25" s="9" t="str">
        <f aca="true">IF(AND(C25&lt;&gt;"",K25&lt;&gt;"Hoàn thành",J25&lt;&gt;"",J25&lt;=TODAY()),MAX(S$5:S24)+1,"")</f>
        <v/>
      </c>
      <c r="T25" s="9" t="str">
        <f aca="false">IF(AND(C25&lt;&gt;"",IF(K25="","Chưa làm",K25)="Chưa làm"),MAX(T$5:T24)+1,"")</f>
        <v/>
      </c>
      <c r="U25" s="9" t="str">
        <f aca="false">IF(AND(C25&lt;&gt;"",IF(K25="","Chưa làm",K25)="Đang làm"),MAX(U$5:U24)+1,"")</f>
        <v/>
      </c>
      <c r="V25" s="9" t="str">
        <f aca="false">IF(AND(C25&lt;&gt;"",IF(K25="","Chưa làm",K25)="Chờ duyệt"),MAX(V$5:V24)+1,"")</f>
        <v/>
      </c>
      <c r="W25" s="9" t="str">
        <f aca="false">IF(AND(C25&lt;&gt;"",IF(K25="","Chưa làm",K25)="Hoàn thành"),MAX(W$5:W24)+1,"")</f>
        <v/>
      </c>
      <c r="X25" s="9" t="str">
        <f aca="false">IF(AND(C25&lt;&gt;"",K25&lt;&gt;"Hoàn thành",N25="1. Làm ngay"),MAX(X$5:X24)+1,"")</f>
        <v/>
      </c>
      <c r="Y25" s="9" t="str">
        <f aca="false">IF(AND(C25&lt;&gt;"",K25&lt;&gt;"Hoàn thành",N25="2. Lên lịch"),MAX(Y$5:Y24)+1,"")</f>
        <v/>
      </c>
      <c r="Z25" s="9" t="str">
        <f aca="false">IF(AND(C25&lt;&gt;"",K25&lt;&gt;"Hoàn thành",N25="3. Giao lại"),MAX(Z$5:Z24)+1,"")</f>
        <v/>
      </c>
      <c r="AA25" s="9" t="str">
        <f aca="false">IF(AND(C25&lt;&gt;"",K25&lt;&gt;"Hoàn thành",N25="4. Để sau"),MAX(AA$5:AA24)+1,"")</f>
        <v/>
      </c>
      <c r="AB25" s="9" t="str">
        <f aca="false">IF(AND(C25&lt;&gt;"",J25&lt;&gt;"",J25&gt;=TUAN!$C$3,J25&lt;=TUAN!$C$3+6),MAX(AB$5:AB24)+1,"")</f>
        <v/>
      </c>
    </row>
    <row r="26" customFormat="false" ht="15" hidden="false" customHeight="false" outlineLevel="0" collapsed="false">
      <c r="A26" s="9" t="str">
        <f aca="false">IF(C26="","","CV"&amp;TEXT(ROW()-5,"000"))</f>
        <v/>
      </c>
      <c r="B26" s="10"/>
      <c r="C26" s="11"/>
      <c r="D26" s="12"/>
      <c r="E26" s="12"/>
      <c r="F26" s="12"/>
      <c r="G26" s="12"/>
      <c r="H26" s="12"/>
      <c r="I26" s="12"/>
      <c r="J26" s="10"/>
      <c r="K26" s="12"/>
      <c r="L26" s="10"/>
      <c r="M26" s="12"/>
      <c r="N26" s="9" t="str">
        <f aca="false">IF(C26="","",IF(AND(H26="Có",I26="Có"),"1. Làm ngay",IF(H26="Có","2. Lên lịch",IF(I26="Có","3. Giao lại","4. Để sau"))))</f>
        <v/>
      </c>
      <c r="O26" s="9" t="str">
        <f aca="true">IF(OR(C26="",J26="",K26="Hoàn thành"),"",J26-TODAY())</f>
        <v/>
      </c>
      <c r="P26" s="9" t="str">
        <f aca="true">IF(C26="","",IF(K26="Hoàn thành",IF(OR(L26="",J26=""),"Xong (thiếu ngày)",IF(L26&lt;=J26,"Xong đúng hạn","Xong trễ")),IF(J26="","Chưa có hạn",IF(J26&lt;TODAY(),"Quá hạn",IF(J26=TODAY(),"Đến hạn hôm nay",IF(J26-TODAY()&lt;=3,"Sắp đến hạn","Trong hạn"))))))</f>
        <v/>
      </c>
      <c r="Q26" s="9" t="str">
        <f aca="false">IF(OR(C26="",J26=""),"",WEEKNUM(J26,21))</f>
        <v/>
      </c>
      <c r="R26" s="2"/>
      <c r="S26" s="9" t="str">
        <f aca="true">IF(AND(C26&lt;&gt;"",K26&lt;&gt;"Hoàn thành",J26&lt;&gt;"",J26&lt;=TODAY()),MAX(S$5:S25)+1,"")</f>
        <v/>
      </c>
      <c r="T26" s="9" t="str">
        <f aca="false">IF(AND(C26&lt;&gt;"",IF(K26="","Chưa làm",K26)="Chưa làm"),MAX(T$5:T25)+1,"")</f>
        <v/>
      </c>
      <c r="U26" s="9" t="str">
        <f aca="false">IF(AND(C26&lt;&gt;"",IF(K26="","Chưa làm",K26)="Đang làm"),MAX(U$5:U25)+1,"")</f>
        <v/>
      </c>
      <c r="V26" s="9" t="str">
        <f aca="false">IF(AND(C26&lt;&gt;"",IF(K26="","Chưa làm",K26)="Chờ duyệt"),MAX(V$5:V25)+1,"")</f>
        <v/>
      </c>
      <c r="W26" s="9" t="str">
        <f aca="false">IF(AND(C26&lt;&gt;"",IF(K26="","Chưa làm",K26)="Hoàn thành"),MAX(W$5:W25)+1,"")</f>
        <v/>
      </c>
      <c r="X26" s="9" t="str">
        <f aca="false">IF(AND(C26&lt;&gt;"",K26&lt;&gt;"Hoàn thành",N26="1. Làm ngay"),MAX(X$5:X25)+1,"")</f>
        <v/>
      </c>
      <c r="Y26" s="9" t="str">
        <f aca="false">IF(AND(C26&lt;&gt;"",K26&lt;&gt;"Hoàn thành",N26="2. Lên lịch"),MAX(Y$5:Y25)+1,"")</f>
        <v/>
      </c>
      <c r="Z26" s="9" t="str">
        <f aca="false">IF(AND(C26&lt;&gt;"",K26&lt;&gt;"Hoàn thành",N26="3. Giao lại"),MAX(Z$5:Z25)+1,"")</f>
        <v/>
      </c>
      <c r="AA26" s="9" t="str">
        <f aca="false">IF(AND(C26&lt;&gt;"",K26&lt;&gt;"Hoàn thành",N26="4. Để sau"),MAX(AA$5:AA25)+1,"")</f>
        <v/>
      </c>
      <c r="AB26" s="9" t="str">
        <f aca="false">IF(AND(C26&lt;&gt;"",J26&lt;&gt;"",J26&gt;=TUAN!$C$3,J26&lt;=TUAN!$C$3+6),MAX(AB$5:AB25)+1,"")</f>
        <v/>
      </c>
    </row>
    <row r="27" customFormat="false" ht="15" hidden="false" customHeight="false" outlineLevel="0" collapsed="false">
      <c r="A27" s="9" t="str">
        <f aca="false">IF(C27="","","CV"&amp;TEXT(ROW()-5,"000"))</f>
        <v/>
      </c>
      <c r="B27" s="10"/>
      <c r="C27" s="11"/>
      <c r="D27" s="12"/>
      <c r="E27" s="12"/>
      <c r="F27" s="12"/>
      <c r="G27" s="12"/>
      <c r="H27" s="12"/>
      <c r="I27" s="12"/>
      <c r="J27" s="10"/>
      <c r="K27" s="12"/>
      <c r="L27" s="10"/>
      <c r="M27" s="12"/>
      <c r="N27" s="9" t="str">
        <f aca="false">IF(C27="","",IF(AND(H27="Có",I27="Có"),"1. Làm ngay",IF(H27="Có","2. Lên lịch",IF(I27="Có","3. Giao lại","4. Để sau"))))</f>
        <v/>
      </c>
      <c r="O27" s="9" t="str">
        <f aca="true">IF(OR(C27="",J27="",K27="Hoàn thành"),"",J27-TODAY())</f>
        <v/>
      </c>
      <c r="P27" s="9" t="str">
        <f aca="true">IF(C27="","",IF(K27="Hoàn thành",IF(OR(L27="",J27=""),"Xong (thiếu ngày)",IF(L27&lt;=J27,"Xong đúng hạn","Xong trễ")),IF(J27="","Chưa có hạn",IF(J27&lt;TODAY(),"Quá hạn",IF(J27=TODAY(),"Đến hạn hôm nay",IF(J27-TODAY()&lt;=3,"Sắp đến hạn","Trong hạn"))))))</f>
        <v/>
      </c>
      <c r="Q27" s="9" t="str">
        <f aca="false">IF(OR(C27="",J27=""),"",WEEKNUM(J27,21))</f>
        <v/>
      </c>
      <c r="R27" s="2"/>
      <c r="S27" s="9" t="str">
        <f aca="true">IF(AND(C27&lt;&gt;"",K27&lt;&gt;"Hoàn thành",J27&lt;&gt;"",J27&lt;=TODAY()),MAX(S$5:S26)+1,"")</f>
        <v/>
      </c>
      <c r="T27" s="9" t="str">
        <f aca="false">IF(AND(C27&lt;&gt;"",IF(K27="","Chưa làm",K27)="Chưa làm"),MAX(T$5:T26)+1,"")</f>
        <v/>
      </c>
      <c r="U27" s="9" t="str">
        <f aca="false">IF(AND(C27&lt;&gt;"",IF(K27="","Chưa làm",K27)="Đang làm"),MAX(U$5:U26)+1,"")</f>
        <v/>
      </c>
      <c r="V27" s="9" t="str">
        <f aca="false">IF(AND(C27&lt;&gt;"",IF(K27="","Chưa làm",K27)="Chờ duyệt"),MAX(V$5:V26)+1,"")</f>
        <v/>
      </c>
      <c r="W27" s="9" t="str">
        <f aca="false">IF(AND(C27&lt;&gt;"",IF(K27="","Chưa làm",K27)="Hoàn thành"),MAX(W$5:W26)+1,"")</f>
        <v/>
      </c>
      <c r="X27" s="9" t="str">
        <f aca="false">IF(AND(C27&lt;&gt;"",K27&lt;&gt;"Hoàn thành",N27="1. Làm ngay"),MAX(X$5:X26)+1,"")</f>
        <v/>
      </c>
      <c r="Y27" s="9" t="str">
        <f aca="false">IF(AND(C27&lt;&gt;"",K27&lt;&gt;"Hoàn thành",N27="2. Lên lịch"),MAX(Y$5:Y26)+1,"")</f>
        <v/>
      </c>
      <c r="Z27" s="9" t="str">
        <f aca="false">IF(AND(C27&lt;&gt;"",K27&lt;&gt;"Hoàn thành",N27="3. Giao lại"),MAX(Z$5:Z26)+1,"")</f>
        <v/>
      </c>
      <c r="AA27" s="9" t="str">
        <f aca="false">IF(AND(C27&lt;&gt;"",K27&lt;&gt;"Hoàn thành",N27="4. Để sau"),MAX(AA$5:AA26)+1,"")</f>
        <v/>
      </c>
      <c r="AB27" s="9" t="str">
        <f aca="false">IF(AND(C27&lt;&gt;"",J27&lt;&gt;"",J27&gt;=TUAN!$C$3,J27&lt;=TUAN!$C$3+6),MAX(AB$5:AB26)+1,"")</f>
        <v/>
      </c>
    </row>
    <row r="28" customFormat="false" ht="15" hidden="false" customHeight="false" outlineLevel="0" collapsed="false">
      <c r="A28" s="9" t="str">
        <f aca="false">IF(C28="","","CV"&amp;TEXT(ROW()-5,"000"))</f>
        <v/>
      </c>
      <c r="B28" s="10"/>
      <c r="C28" s="11"/>
      <c r="D28" s="12"/>
      <c r="E28" s="12"/>
      <c r="F28" s="12"/>
      <c r="G28" s="12"/>
      <c r="H28" s="12"/>
      <c r="I28" s="12"/>
      <c r="J28" s="10"/>
      <c r="K28" s="12"/>
      <c r="L28" s="10"/>
      <c r="M28" s="12"/>
      <c r="N28" s="9" t="str">
        <f aca="false">IF(C28="","",IF(AND(H28="Có",I28="Có"),"1. Làm ngay",IF(H28="Có","2. Lên lịch",IF(I28="Có","3. Giao lại","4. Để sau"))))</f>
        <v/>
      </c>
      <c r="O28" s="9" t="str">
        <f aca="true">IF(OR(C28="",J28="",K28="Hoàn thành"),"",J28-TODAY())</f>
        <v/>
      </c>
      <c r="P28" s="9" t="str">
        <f aca="true">IF(C28="","",IF(K28="Hoàn thành",IF(OR(L28="",J28=""),"Xong (thiếu ngày)",IF(L28&lt;=J28,"Xong đúng hạn","Xong trễ")),IF(J28="","Chưa có hạn",IF(J28&lt;TODAY(),"Quá hạn",IF(J28=TODAY(),"Đến hạn hôm nay",IF(J28-TODAY()&lt;=3,"Sắp đến hạn","Trong hạn"))))))</f>
        <v/>
      </c>
      <c r="Q28" s="9" t="str">
        <f aca="false">IF(OR(C28="",J28=""),"",WEEKNUM(J28,21))</f>
        <v/>
      </c>
      <c r="R28" s="2"/>
      <c r="S28" s="9" t="str">
        <f aca="true">IF(AND(C28&lt;&gt;"",K28&lt;&gt;"Hoàn thành",J28&lt;&gt;"",J28&lt;=TODAY()),MAX(S$5:S27)+1,"")</f>
        <v/>
      </c>
      <c r="T28" s="9" t="str">
        <f aca="false">IF(AND(C28&lt;&gt;"",IF(K28="","Chưa làm",K28)="Chưa làm"),MAX(T$5:T27)+1,"")</f>
        <v/>
      </c>
      <c r="U28" s="9" t="str">
        <f aca="false">IF(AND(C28&lt;&gt;"",IF(K28="","Chưa làm",K28)="Đang làm"),MAX(U$5:U27)+1,"")</f>
        <v/>
      </c>
      <c r="V28" s="9" t="str">
        <f aca="false">IF(AND(C28&lt;&gt;"",IF(K28="","Chưa làm",K28)="Chờ duyệt"),MAX(V$5:V27)+1,"")</f>
        <v/>
      </c>
      <c r="W28" s="9" t="str">
        <f aca="false">IF(AND(C28&lt;&gt;"",IF(K28="","Chưa làm",K28)="Hoàn thành"),MAX(W$5:W27)+1,"")</f>
        <v/>
      </c>
      <c r="X28" s="9" t="str">
        <f aca="false">IF(AND(C28&lt;&gt;"",K28&lt;&gt;"Hoàn thành",N28="1. Làm ngay"),MAX(X$5:X27)+1,"")</f>
        <v/>
      </c>
      <c r="Y28" s="9" t="str">
        <f aca="false">IF(AND(C28&lt;&gt;"",K28&lt;&gt;"Hoàn thành",N28="2. Lên lịch"),MAX(Y$5:Y27)+1,"")</f>
        <v/>
      </c>
      <c r="Z28" s="9" t="str">
        <f aca="false">IF(AND(C28&lt;&gt;"",K28&lt;&gt;"Hoàn thành",N28="3. Giao lại"),MAX(Z$5:Z27)+1,"")</f>
        <v/>
      </c>
      <c r="AA28" s="9" t="str">
        <f aca="false">IF(AND(C28&lt;&gt;"",K28&lt;&gt;"Hoàn thành",N28="4. Để sau"),MAX(AA$5:AA27)+1,"")</f>
        <v/>
      </c>
      <c r="AB28" s="9" t="str">
        <f aca="false">IF(AND(C28&lt;&gt;"",J28&lt;&gt;"",J28&gt;=TUAN!$C$3,J28&lt;=TUAN!$C$3+6),MAX(AB$5:AB27)+1,"")</f>
        <v/>
      </c>
    </row>
    <row r="29" customFormat="false" ht="15" hidden="false" customHeight="false" outlineLevel="0" collapsed="false">
      <c r="A29" s="9" t="str">
        <f aca="false">IF(C29="","","CV"&amp;TEXT(ROW()-5,"000"))</f>
        <v/>
      </c>
      <c r="B29" s="10"/>
      <c r="C29" s="11"/>
      <c r="D29" s="12"/>
      <c r="E29" s="12"/>
      <c r="F29" s="12"/>
      <c r="G29" s="12"/>
      <c r="H29" s="12"/>
      <c r="I29" s="12"/>
      <c r="J29" s="10"/>
      <c r="K29" s="12"/>
      <c r="L29" s="10"/>
      <c r="M29" s="12"/>
      <c r="N29" s="9" t="str">
        <f aca="false">IF(C29="","",IF(AND(H29="Có",I29="Có"),"1. Làm ngay",IF(H29="Có","2. Lên lịch",IF(I29="Có","3. Giao lại","4. Để sau"))))</f>
        <v/>
      </c>
      <c r="O29" s="9" t="str">
        <f aca="true">IF(OR(C29="",J29="",K29="Hoàn thành"),"",J29-TODAY())</f>
        <v/>
      </c>
      <c r="P29" s="9" t="str">
        <f aca="true">IF(C29="","",IF(K29="Hoàn thành",IF(OR(L29="",J29=""),"Xong (thiếu ngày)",IF(L29&lt;=J29,"Xong đúng hạn","Xong trễ")),IF(J29="","Chưa có hạn",IF(J29&lt;TODAY(),"Quá hạn",IF(J29=TODAY(),"Đến hạn hôm nay",IF(J29-TODAY()&lt;=3,"Sắp đến hạn","Trong hạn"))))))</f>
        <v/>
      </c>
      <c r="Q29" s="9" t="str">
        <f aca="false">IF(OR(C29="",J29=""),"",WEEKNUM(J29,21))</f>
        <v/>
      </c>
      <c r="R29" s="2"/>
      <c r="S29" s="9" t="str">
        <f aca="true">IF(AND(C29&lt;&gt;"",K29&lt;&gt;"Hoàn thành",J29&lt;&gt;"",J29&lt;=TODAY()),MAX(S$5:S28)+1,"")</f>
        <v/>
      </c>
      <c r="T29" s="9" t="str">
        <f aca="false">IF(AND(C29&lt;&gt;"",IF(K29="","Chưa làm",K29)="Chưa làm"),MAX(T$5:T28)+1,"")</f>
        <v/>
      </c>
      <c r="U29" s="9" t="str">
        <f aca="false">IF(AND(C29&lt;&gt;"",IF(K29="","Chưa làm",K29)="Đang làm"),MAX(U$5:U28)+1,"")</f>
        <v/>
      </c>
      <c r="V29" s="9" t="str">
        <f aca="false">IF(AND(C29&lt;&gt;"",IF(K29="","Chưa làm",K29)="Chờ duyệt"),MAX(V$5:V28)+1,"")</f>
        <v/>
      </c>
      <c r="W29" s="9" t="str">
        <f aca="false">IF(AND(C29&lt;&gt;"",IF(K29="","Chưa làm",K29)="Hoàn thành"),MAX(W$5:W28)+1,"")</f>
        <v/>
      </c>
      <c r="X29" s="9" t="str">
        <f aca="false">IF(AND(C29&lt;&gt;"",K29&lt;&gt;"Hoàn thành",N29="1. Làm ngay"),MAX(X$5:X28)+1,"")</f>
        <v/>
      </c>
      <c r="Y29" s="9" t="str">
        <f aca="false">IF(AND(C29&lt;&gt;"",K29&lt;&gt;"Hoàn thành",N29="2. Lên lịch"),MAX(Y$5:Y28)+1,"")</f>
        <v/>
      </c>
      <c r="Z29" s="9" t="str">
        <f aca="false">IF(AND(C29&lt;&gt;"",K29&lt;&gt;"Hoàn thành",N29="3. Giao lại"),MAX(Z$5:Z28)+1,"")</f>
        <v/>
      </c>
      <c r="AA29" s="9" t="str">
        <f aca="false">IF(AND(C29&lt;&gt;"",K29&lt;&gt;"Hoàn thành",N29="4. Để sau"),MAX(AA$5:AA28)+1,"")</f>
        <v/>
      </c>
      <c r="AB29" s="9" t="str">
        <f aca="false">IF(AND(C29&lt;&gt;"",J29&lt;&gt;"",J29&gt;=TUAN!$C$3,J29&lt;=TUAN!$C$3+6),MAX(AB$5:AB28)+1,"")</f>
        <v/>
      </c>
    </row>
    <row r="30" customFormat="false" ht="15" hidden="false" customHeight="false" outlineLevel="0" collapsed="false">
      <c r="A30" s="9" t="str">
        <f aca="false">IF(C30="","","CV"&amp;TEXT(ROW()-5,"000"))</f>
        <v/>
      </c>
      <c r="B30" s="10"/>
      <c r="C30" s="11"/>
      <c r="D30" s="12"/>
      <c r="E30" s="12"/>
      <c r="F30" s="12"/>
      <c r="G30" s="12"/>
      <c r="H30" s="12"/>
      <c r="I30" s="12"/>
      <c r="J30" s="10"/>
      <c r="K30" s="12"/>
      <c r="L30" s="10"/>
      <c r="M30" s="12"/>
      <c r="N30" s="9" t="str">
        <f aca="false">IF(C30="","",IF(AND(H30="Có",I30="Có"),"1. Làm ngay",IF(H30="Có","2. Lên lịch",IF(I30="Có","3. Giao lại","4. Để sau"))))</f>
        <v/>
      </c>
      <c r="O30" s="9" t="str">
        <f aca="true">IF(OR(C30="",J30="",K30="Hoàn thành"),"",J30-TODAY())</f>
        <v/>
      </c>
      <c r="P30" s="9" t="str">
        <f aca="true">IF(C30="","",IF(K30="Hoàn thành",IF(OR(L30="",J30=""),"Xong (thiếu ngày)",IF(L30&lt;=J30,"Xong đúng hạn","Xong trễ")),IF(J30="","Chưa có hạn",IF(J30&lt;TODAY(),"Quá hạn",IF(J30=TODAY(),"Đến hạn hôm nay",IF(J30-TODAY()&lt;=3,"Sắp đến hạn","Trong hạn"))))))</f>
        <v/>
      </c>
      <c r="Q30" s="9" t="str">
        <f aca="false">IF(OR(C30="",J30=""),"",WEEKNUM(J30,21))</f>
        <v/>
      </c>
      <c r="R30" s="2"/>
      <c r="S30" s="9" t="str">
        <f aca="true">IF(AND(C30&lt;&gt;"",K30&lt;&gt;"Hoàn thành",J30&lt;&gt;"",J30&lt;=TODAY()),MAX(S$5:S29)+1,"")</f>
        <v/>
      </c>
      <c r="T30" s="9" t="str">
        <f aca="false">IF(AND(C30&lt;&gt;"",IF(K30="","Chưa làm",K30)="Chưa làm"),MAX(T$5:T29)+1,"")</f>
        <v/>
      </c>
      <c r="U30" s="9" t="str">
        <f aca="false">IF(AND(C30&lt;&gt;"",IF(K30="","Chưa làm",K30)="Đang làm"),MAX(U$5:U29)+1,"")</f>
        <v/>
      </c>
      <c r="V30" s="9" t="str">
        <f aca="false">IF(AND(C30&lt;&gt;"",IF(K30="","Chưa làm",K30)="Chờ duyệt"),MAX(V$5:V29)+1,"")</f>
        <v/>
      </c>
      <c r="W30" s="9" t="str">
        <f aca="false">IF(AND(C30&lt;&gt;"",IF(K30="","Chưa làm",K30)="Hoàn thành"),MAX(W$5:W29)+1,"")</f>
        <v/>
      </c>
      <c r="X30" s="9" t="str">
        <f aca="false">IF(AND(C30&lt;&gt;"",K30&lt;&gt;"Hoàn thành",N30="1. Làm ngay"),MAX(X$5:X29)+1,"")</f>
        <v/>
      </c>
      <c r="Y30" s="9" t="str">
        <f aca="false">IF(AND(C30&lt;&gt;"",K30&lt;&gt;"Hoàn thành",N30="2. Lên lịch"),MAX(Y$5:Y29)+1,"")</f>
        <v/>
      </c>
      <c r="Z30" s="9" t="str">
        <f aca="false">IF(AND(C30&lt;&gt;"",K30&lt;&gt;"Hoàn thành",N30="3. Giao lại"),MAX(Z$5:Z29)+1,"")</f>
        <v/>
      </c>
      <c r="AA30" s="9" t="str">
        <f aca="false">IF(AND(C30&lt;&gt;"",K30&lt;&gt;"Hoàn thành",N30="4. Để sau"),MAX(AA$5:AA29)+1,"")</f>
        <v/>
      </c>
      <c r="AB30" s="9" t="str">
        <f aca="false">IF(AND(C30&lt;&gt;"",J30&lt;&gt;"",J30&gt;=TUAN!$C$3,J30&lt;=TUAN!$C$3+6),MAX(AB$5:AB29)+1,"")</f>
        <v/>
      </c>
    </row>
    <row r="31" customFormat="false" ht="15" hidden="false" customHeight="false" outlineLevel="0" collapsed="false">
      <c r="A31" s="9" t="str">
        <f aca="false">IF(C31="","","CV"&amp;TEXT(ROW()-5,"000"))</f>
        <v/>
      </c>
      <c r="B31" s="10"/>
      <c r="C31" s="11"/>
      <c r="D31" s="12"/>
      <c r="E31" s="12"/>
      <c r="F31" s="12"/>
      <c r="G31" s="12"/>
      <c r="H31" s="12"/>
      <c r="I31" s="12"/>
      <c r="J31" s="10"/>
      <c r="K31" s="12"/>
      <c r="L31" s="10"/>
      <c r="M31" s="12"/>
      <c r="N31" s="9" t="str">
        <f aca="false">IF(C31="","",IF(AND(H31="Có",I31="Có"),"1. Làm ngay",IF(H31="Có","2. Lên lịch",IF(I31="Có","3. Giao lại","4. Để sau"))))</f>
        <v/>
      </c>
      <c r="O31" s="9" t="str">
        <f aca="true">IF(OR(C31="",J31="",K31="Hoàn thành"),"",J31-TODAY())</f>
        <v/>
      </c>
      <c r="P31" s="9" t="str">
        <f aca="true">IF(C31="","",IF(K31="Hoàn thành",IF(OR(L31="",J31=""),"Xong (thiếu ngày)",IF(L31&lt;=J31,"Xong đúng hạn","Xong trễ")),IF(J31="","Chưa có hạn",IF(J31&lt;TODAY(),"Quá hạn",IF(J31=TODAY(),"Đến hạn hôm nay",IF(J31-TODAY()&lt;=3,"Sắp đến hạn","Trong hạn"))))))</f>
        <v/>
      </c>
      <c r="Q31" s="9" t="str">
        <f aca="false">IF(OR(C31="",J31=""),"",WEEKNUM(J31,21))</f>
        <v/>
      </c>
      <c r="R31" s="2"/>
      <c r="S31" s="9" t="str">
        <f aca="true">IF(AND(C31&lt;&gt;"",K31&lt;&gt;"Hoàn thành",J31&lt;&gt;"",J31&lt;=TODAY()),MAX(S$5:S30)+1,"")</f>
        <v/>
      </c>
      <c r="T31" s="9" t="str">
        <f aca="false">IF(AND(C31&lt;&gt;"",IF(K31="","Chưa làm",K31)="Chưa làm"),MAX(T$5:T30)+1,"")</f>
        <v/>
      </c>
      <c r="U31" s="9" t="str">
        <f aca="false">IF(AND(C31&lt;&gt;"",IF(K31="","Chưa làm",K31)="Đang làm"),MAX(U$5:U30)+1,"")</f>
        <v/>
      </c>
      <c r="V31" s="9" t="str">
        <f aca="false">IF(AND(C31&lt;&gt;"",IF(K31="","Chưa làm",K31)="Chờ duyệt"),MAX(V$5:V30)+1,"")</f>
        <v/>
      </c>
      <c r="W31" s="9" t="str">
        <f aca="false">IF(AND(C31&lt;&gt;"",IF(K31="","Chưa làm",K31)="Hoàn thành"),MAX(W$5:W30)+1,"")</f>
        <v/>
      </c>
      <c r="X31" s="9" t="str">
        <f aca="false">IF(AND(C31&lt;&gt;"",K31&lt;&gt;"Hoàn thành",N31="1. Làm ngay"),MAX(X$5:X30)+1,"")</f>
        <v/>
      </c>
      <c r="Y31" s="9" t="str">
        <f aca="false">IF(AND(C31&lt;&gt;"",K31&lt;&gt;"Hoàn thành",N31="2. Lên lịch"),MAX(Y$5:Y30)+1,"")</f>
        <v/>
      </c>
      <c r="Z31" s="9" t="str">
        <f aca="false">IF(AND(C31&lt;&gt;"",K31&lt;&gt;"Hoàn thành",N31="3. Giao lại"),MAX(Z$5:Z30)+1,"")</f>
        <v/>
      </c>
      <c r="AA31" s="9" t="str">
        <f aca="false">IF(AND(C31&lt;&gt;"",K31&lt;&gt;"Hoàn thành",N31="4. Để sau"),MAX(AA$5:AA30)+1,"")</f>
        <v/>
      </c>
      <c r="AB31" s="9" t="str">
        <f aca="false">IF(AND(C31&lt;&gt;"",J31&lt;&gt;"",J31&gt;=TUAN!$C$3,J31&lt;=TUAN!$C$3+6),MAX(AB$5:AB30)+1,"")</f>
        <v/>
      </c>
    </row>
    <row r="32" customFormat="false" ht="15" hidden="false" customHeight="false" outlineLevel="0" collapsed="false">
      <c r="A32" s="9" t="str">
        <f aca="false">IF(C32="","","CV"&amp;TEXT(ROW()-5,"000"))</f>
        <v/>
      </c>
      <c r="B32" s="10"/>
      <c r="C32" s="11"/>
      <c r="D32" s="12"/>
      <c r="E32" s="12"/>
      <c r="F32" s="12"/>
      <c r="G32" s="12"/>
      <c r="H32" s="12"/>
      <c r="I32" s="12"/>
      <c r="J32" s="10"/>
      <c r="K32" s="12"/>
      <c r="L32" s="10"/>
      <c r="M32" s="12"/>
      <c r="N32" s="9" t="str">
        <f aca="false">IF(C32="","",IF(AND(H32="Có",I32="Có"),"1. Làm ngay",IF(H32="Có","2. Lên lịch",IF(I32="Có","3. Giao lại","4. Để sau"))))</f>
        <v/>
      </c>
      <c r="O32" s="9" t="str">
        <f aca="true">IF(OR(C32="",J32="",K32="Hoàn thành"),"",J32-TODAY())</f>
        <v/>
      </c>
      <c r="P32" s="9" t="str">
        <f aca="true">IF(C32="","",IF(K32="Hoàn thành",IF(OR(L32="",J32=""),"Xong (thiếu ngày)",IF(L32&lt;=J32,"Xong đúng hạn","Xong trễ")),IF(J32="","Chưa có hạn",IF(J32&lt;TODAY(),"Quá hạn",IF(J32=TODAY(),"Đến hạn hôm nay",IF(J32-TODAY()&lt;=3,"Sắp đến hạn","Trong hạn"))))))</f>
        <v/>
      </c>
      <c r="Q32" s="9" t="str">
        <f aca="false">IF(OR(C32="",J32=""),"",WEEKNUM(J32,21))</f>
        <v/>
      </c>
      <c r="R32" s="2"/>
      <c r="S32" s="9" t="str">
        <f aca="true">IF(AND(C32&lt;&gt;"",K32&lt;&gt;"Hoàn thành",J32&lt;&gt;"",J32&lt;=TODAY()),MAX(S$5:S31)+1,"")</f>
        <v/>
      </c>
      <c r="T32" s="9" t="str">
        <f aca="false">IF(AND(C32&lt;&gt;"",IF(K32="","Chưa làm",K32)="Chưa làm"),MAX(T$5:T31)+1,"")</f>
        <v/>
      </c>
      <c r="U32" s="9" t="str">
        <f aca="false">IF(AND(C32&lt;&gt;"",IF(K32="","Chưa làm",K32)="Đang làm"),MAX(U$5:U31)+1,"")</f>
        <v/>
      </c>
      <c r="V32" s="9" t="str">
        <f aca="false">IF(AND(C32&lt;&gt;"",IF(K32="","Chưa làm",K32)="Chờ duyệt"),MAX(V$5:V31)+1,"")</f>
        <v/>
      </c>
      <c r="W32" s="9" t="str">
        <f aca="false">IF(AND(C32&lt;&gt;"",IF(K32="","Chưa làm",K32)="Hoàn thành"),MAX(W$5:W31)+1,"")</f>
        <v/>
      </c>
      <c r="X32" s="9" t="str">
        <f aca="false">IF(AND(C32&lt;&gt;"",K32&lt;&gt;"Hoàn thành",N32="1. Làm ngay"),MAX(X$5:X31)+1,"")</f>
        <v/>
      </c>
      <c r="Y32" s="9" t="str">
        <f aca="false">IF(AND(C32&lt;&gt;"",K32&lt;&gt;"Hoàn thành",N32="2. Lên lịch"),MAX(Y$5:Y31)+1,"")</f>
        <v/>
      </c>
      <c r="Z32" s="9" t="str">
        <f aca="false">IF(AND(C32&lt;&gt;"",K32&lt;&gt;"Hoàn thành",N32="3. Giao lại"),MAX(Z$5:Z31)+1,"")</f>
        <v/>
      </c>
      <c r="AA32" s="9" t="str">
        <f aca="false">IF(AND(C32&lt;&gt;"",K32&lt;&gt;"Hoàn thành",N32="4. Để sau"),MAX(AA$5:AA31)+1,"")</f>
        <v/>
      </c>
      <c r="AB32" s="9" t="str">
        <f aca="false">IF(AND(C32&lt;&gt;"",J32&lt;&gt;"",J32&gt;=TUAN!$C$3,J32&lt;=TUAN!$C$3+6),MAX(AB$5:AB31)+1,"")</f>
        <v/>
      </c>
    </row>
    <row r="33" customFormat="false" ht="15" hidden="false" customHeight="false" outlineLevel="0" collapsed="false">
      <c r="A33" s="9" t="str">
        <f aca="false">IF(C33="","","CV"&amp;TEXT(ROW()-5,"000"))</f>
        <v/>
      </c>
      <c r="B33" s="10"/>
      <c r="C33" s="11"/>
      <c r="D33" s="12"/>
      <c r="E33" s="12"/>
      <c r="F33" s="12"/>
      <c r="G33" s="12"/>
      <c r="H33" s="12"/>
      <c r="I33" s="12"/>
      <c r="J33" s="10"/>
      <c r="K33" s="12"/>
      <c r="L33" s="10"/>
      <c r="M33" s="12"/>
      <c r="N33" s="9" t="str">
        <f aca="false">IF(C33="","",IF(AND(H33="Có",I33="Có"),"1. Làm ngay",IF(H33="Có","2. Lên lịch",IF(I33="Có","3. Giao lại","4. Để sau"))))</f>
        <v/>
      </c>
      <c r="O33" s="9" t="str">
        <f aca="true">IF(OR(C33="",J33="",K33="Hoàn thành"),"",J33-TODAY())</f>
        <v/>
      </c>
      <c r="P33" s="9" t="str">
        <f aca="true">IF(C33="","",IF(K33="Hoàn thành",IF(OR(L33="",J33=""),"Xong (thiếu ngày)",IF(L33&lt;=J33,"Xong đúng hạn","Xong trễ")),IF(J33="","Chưa có hạn",IF(J33&lt;TODAY(),"Quá hạn",IF(J33=TODAY(),"Đến hạn hôm nay",IF(J33-TODAY()&lt;=3,"Sắp đến hạn","Trong hạn"))))))</f>
        <v/>
      </c>
      <c r="Q33" s="9" t="str">
        <f aca="false">IF(OR(C33="",J33=""),"",WEEKNUM(J33,21))</f>
        <v/>
      </c>
      <c r="R33" s="2"/>
      <c r="S33" s="9" t="str">
        <f aca="true">IF(AND(C33&lt;&gt;"",K33&lt;&gt;"Hoàn thành",J33&lt;&gt;"",J33&lt;=TODAY()),MAX(S$5:S32)+1,"")</f>
        <v/>
      </c>
      <c r="T33" s="9" t="str">
        <f aca="false">IF(AND(C33&lt;&gt;"",IF(K33="","Chưa làm",K33)="Chưa làm"),MAX(T$5:T32)+1,"")</f>
        <v/>
      </c>
      <c r="U33" s="9" t="str">
        <f aca="false">IF(AND(C33&lt;&gt;"",IF(K33="","Chưa làm",K33)="Đang làm"),MAX(U$5:U32)+1,"")</f>
        <v/>
      </c>
      <c r="V33" s="9" t="str">
        <f aca="false">IF(AND(C33&lt;&gt;"",IF(K33="","Chưa làm",K33)="Chờ duyệt"),MAX(V$5:V32)+1,"")</f>
        <v/>
      </c>
      <c r="W33" s="9" t="str">
        <f aca="false">IF(AND(C33&lt;&gt;"",IF(K33="","Chưa làm",K33)="Hoàn thành"),MAX(W$5:W32)+1,"")</f>
        <v/>
      </c>
      <c r="X33" s="9" t="str">
        <f aca="false">IF(AND(C33&lt;&gt;"",K33&lt;&gt;"Hoàn thành",N33="1. Làm ngay"),MAX(X$5:X32)+1,"")</f>
        <v/>
      </c>
      <c r="Y33" s="9" t="str">
        <f aca="false">IF(AND(C33&lt;&gt;"",K33&lt;&gt;"Hoàn thành",N33="2. Lên lịch"),MAX(Y$5:Y32)+1,"")</f>
        <v/>
      </c>
      <c r="Z33" s="9" t="str">
        <f aca="false">IF(AND(C33&lt;&gt;"",K33&lt;&gt;"Hoàn thành",N33="3. Giao lại"),MAX(Z$5:Z32)+1,"")</f>
        <v/>
      </c>
      <c r="AA33" s="9" t="str">
        <f aca="false">IF(AND(C33&lt;&gt;"",K33&lt;&gt;"Hoàn thành",N33="4. Để sau"),MAX(AA$5:AA32)+1,"")</f>
        <v/>
      </c>
      <c r="AB33" s="9" t="str">
        <f aca="false">IF(AND(C33&lt;&gt;"",J33&lt;&gt;"",J33&gt;=TUAN!$C$3,J33&lt;=TUAN!$C$3+6),MAX(AB$5:AB32)+1,"")</f>
        <v/>
      </c>
    </row>
    <row r="34" customFormat="false" ht="15" hidden="false" customHeight="false" outlineLevel="0" collapsed="false">
      <c r="A34" s="9" t="str">
        <f aca="false">IF(C34="","","CV"&amp;TEXT(ROW()-5,"000"))</f>
        <v/>
      </c>
      <c r="B34" s="10"/>
      <c r="C34" s="11"/>
      <c r="D34" s="12"/>
      <c r="E34" s="12"/>
      <c r="F34" s="12"/>
      <c r="G34" s="12"/>
      <c r="H34" s="12"/>
      <c r="I34" s="12"/>
      <c r="J34" s="10"/>
      <c r="K34" s="12"/>
      <c r="L34" s="10"/>
      <c r="M34" s="12"/>
      <c r="N34" s="9" t="str">
        <f aca="false">IF(C34="","",IF(AND(H34="Có",I34="Có"),"1. Làm ngay",IF(H34="Có","2. Lên lịch",IF(I34="Có","3. Giao lại","4. Để sau"))))</f>
        <v/>
      </c>
      <c r="O34" s="9" t="str">
        <f aca="true">IF(OR(C34="",J34="",K34="Hoàn thành"),"",J34-TODAY())</f>
        <v/>
      </c>
      <c r="P34" s="9" t="str">
        <f aca="true">IF(C34="","",IF(K34="Hoàn thành",IF(OR(L34="",J34=""),"Xong (thiếu ngày)",IF(L34&lt;=J34,"Xong đúng hạn","Xong trễ")),IF(J34="","Chưa có hạn",IF(J34&lt;TODAY(),"Quá hạn",IF(J34=TODAY(),"Đến hạn hôm nay",IF(J34-TODAY()&lt;=3,"Sắp đến hạn","Trong hạn"))))))</f>
        <v/>
      </c>
      <c r="Q34" s="9" t="str">
        <f aca="false">IF(OR(C34="",J34=""),"",WEEKNUM(J34,21))</f>
        <v/>
      </c>
      <c r="R34" s="2"/>
      <c r="S34" s="9" t="str">
        <f aca="true">IF(AND(C34&lt;&gt;"",K34&lt;&gt;"Hoàn thành",J34&lt;&gt;"",J34&lt;=TODAY()),MAX(S$5:S33)+1,"")</f>
        <v/>
      </c>
      <c r="T34" s="9" t="str">
        <f aca="false">IF(AND(C34&lt;&gt;"",IF(K34="","Chưa làm",K34)="Chưa làm"),MAX(T$5:T33)+1,"")</f>
        <v/>
      </c>
      <c r="U34" s="9" t="str">
        <f aca="false">IF(AND(C34&lt;&gt;"",IF(K34="","Chưa làm",K34)="Đang làm"),MAX(U$5:U33)+1,"")</f>
        <v/>
      </c>
      <c r="V34" s="9" t="str">
        <f aca="false">IF(AND(C34&lt;&gt;"",IF(K34="","Chưa làm",K34)="Chờ duyệt"),MAX(V$5:V33)+1,"")</f>
        <v/>
      </c>
      <c r="W34" s="9" t="str">
        <f aca="false">IF(AND(C34&lt;&gt;"",IF(K34="","Chưa làm",K34)="Hoàn thành"),MAX(W$5:W33)+1,"")</f>
        <v/>
      </c>
      <c r="X34" s="9" t="str">
        <f aca="false">IF(AND(C34&lt;&gt;"",K34&lt;&gt;"Hoàn thành",N34="1. Làm ngay"),MAX(X$5:X33)+1,"")</f>
        <v/>
      </c>
      <c r="Y34" s="9" t="str">
        <f aca="false">IF(AND(C34&lt;&gt;"",K34&lt;&gt;"Hoàn thành",N34="2. Lên lịch"),MAX(Y$5:Y33)+1,"")</f>
        <v/>
      </c>
      <c r="Z34" s="9" t="str">
        <f aca="false">IF(AND(C34&lt;&gt;"",K34&lt;&gt;"Hoàn thành",N34="3. Giao lại"),MAX(Z$5:Z33)+1,"")</f>
        <v/>
      </c>
      <c r="AA34" s="9" t="str">
        <f aca="false">IF(AND(C34&lt;&gt;"",K34&lt;&gt;"Hoàn thành",N34="4. Để sau"),MAX(AA$5:AA33)+1,"")</f>
        <v/>
      </c>
      <c r="AB34" s="9" t="str">
        <f aca="false">IF(AND(C34&lt;&gt;"",J34&lt;&gt;"",J34&gt;=TUAN!$C$3,J34&lt;=TUAN!$C$3+6),MAX(AB$5:AB33)+1,"")</f>
        <v/>
      </c>
    </row>
    <row r="35" customFormat="false" ht="15" hidden="false" customHeight="false" outlineLevel="0" collapsed="false">
      <c r="A35" s="9" t="str">
        <f aca="false">IF(C35="","","CV"&amp;TEXT(ROW()-5,"000"))</f>
        <v/>
      </c>
      <c r="B35" s="10"/>
      <c r="C35" s="11"/>
      <c r="D35" s="12"/>
      <c r="E35" s="12"/>
      <c r="F35" s="12"/>
      <c r="G35" s="12"/>
      <c r="H35" s="12"/>
      <c r="I35" s="12"/>
      <c r="J35" s="10"/>
      <c r="K35" s="12"/>
      <c r="L35" s="10"/>
      <c r="M35" s="12"/>
      <c r="N35" s="9" t="str">
        <f aca="false">IF(C35="","",IF(AND(H35="Có",I35="Có"),"1. Làm ngay",IF(H35="Có","2. Lên lịch",IF(I35="Có","3. Giao lại","4. Để sau"))))</f>
        <v/>
      </c>
      <c r="O35" s="9" t="str">
        <f aca="true">IF(OR(C35="",J35="",K35="Hoàn thành"),"",J35-TODAY())</f>
        <v/>
      </c>
      <c r="P35" s="9" t="str">
        <f aca="true">IF(C35="","",IF(K35="Hoàn thành",IF(OR(L35="",J35=""),"Xong (thiếu ngày)",IF(L35&lt;=J35,"Xong đúng hạn","Xong trễ")),IF(J35="","Chưa có hạn",IF(J35&lt;TODAY(),"Quá hạn",IF(J35=TODAY(),"Đến hạn hôm nay",IF(J35-TODAY()&lt;=3,"Sắp đến hạn","Trong hạn"))))))</f>
        <v/>
      </c>
      <c r="Q35" s="9" t="str">
        <f aca="false">IF(OR(C35="",J35=""),"",WEEKNUM(J35,21))</f>
        <v/>
      </c>
      <c r="R35" s="2"/>
      <c r="S35" s="9" t="str">
        <f aca="true">IF(AND(C35&lt;&gt;"",K35&lt;&gt;"Hoàn thành",J35&lt;&gt;"",J35&lt;=TODAY()),MAX(S$5:S34)+1,"")</f>
        <v/>
      </c>
      <c r="T35" s="9" t="str">
        <f aca="false">IF(AND(C35&lt;&gt;"",IF(K35="","Chưa làm",K35)="Chưa làm"),MAX(T$5:T34)+1,"")</f>
        <v/>
      </c>
      <c r="U35" s="9" t="str">
        <f aca="false">IF(AND(C35&lt;&gt;"",IF(K35="","Chưa làm",K35)="Đang làm"),MAX(U$5:U34)+1,"")</f>
        <v/>
      </c>
      <c r="V35" s="9" t="str">
        <f aca="false">IF(AND(C35&lt;&gt;"",IF(K35="","Chưa làm",K35)="Chờ duyệt"),MAX(V$5:V34)+1,"")</f>
        <v/>
      </c>
      <c r="W35" s="9" t="str">
        <f aca="false">IF(AND(C35&lt;&gt;"",IF(K35="","Chưa làm",K35)="Hoàn thành"),MAX(W$5:W34)+1,"")</f>
        <v/>
      </c>
      <c r="X35" s="9" t="str">
        <f aca="false">IF(AND(C35&lt;&gt;"",K35&lt;&gt;"Hoàn thành",N35="1. Làm ngay"),MAX(X$5:X34)+1,"")</f>
        <v/>
      </c>
      <c r="Y35" s="9" t="str">
        <f aca="false">IF(AND(C35&lt;&gt;"",K35&lt;&gt;"Hoàn thành",N35="2. Lên lịch"),MAX(Y$5:Y34)+1,"")</f>
        <v/>
      </c>
      <c r="Z35" s="9" t="str">
        <f aca="false">IF(AND(C35&lt;&gt;"",K35&lt;&gt;"Hoàn thành",N35="3. Giao lại"),MAX(Z$5:Z34)+1,"")</f>
        <v/>
      </c>
      <c r="AA35" s="9" t="str">
        <f aca="false">IF(AND(C35&lt;&gt;"",K35&lt;&gt;"Hoàn thành",N35="4. Để sau"),MAX(AA$5:AA34)+1,"")</f>
        <v/>
      </c>
      <c r="AB35" s="9" t="str">
        <f aca="false">IF(AND(C35&lt;&gt;"",J35&lt;&gt;"",J35&gt;=TUAN!$C$3,J35&lt;=TUAN!$C$3+6),MAX(AB$5:AB34)+1,"")</f>
        <v/>
      </c>
    </row>
    <row r="36" customFormat="false" ht="15" hidden="false" customHeight="false" outlineLevel="0" collapsed="false">
      <c r="A36" s="9" t="str">
        <f aca="false">IF(C36="","","CV"&amp;TEXT(ROW()-5,"000"))</f>
        <v/>
      </c>
      <c r="B36" s="10"/>
      <c r="C36" s="11"/>
      <c r="D36" s="12"/>
      <c r="E36" s="12"/>
      <c r="F36" s="12"/>
      <c r="G36" s="12"/>
      <c r="H36" s="12"/>
      <c r="I36" s="12"/>
      <c r="J36" s="10"/>
      <c r="K36" s="12"/>
      <c r="L36" s="10"/>
      <c r="M36" s="12"/>
      <c r="N36" s="9" t="str">
        <f aca="false">IF(C36="","",IF(AND(H36="Có",I36="Có"),"1. Làm ngay",IF(H36="Có","2. Lên lịch",IF(I36="Có","3. Giao lại","4. Để sau"))))</f>
        <v/>
      </c>
      <c r="O36" s="9" t="str">
        <f aca="true">IF(OR(C36="",J36="",K36="Hoàn thành"),"",J36-TODAY())</f>
        <v/>
      </c>
      <c r="P36" s="9" t="str">
        <f aca="true">IF(C36="","",IF(K36="Hoàn thành",IF(OR(L36="",J36=""),"Xong (thiếu ngày)",IF(L36&lt;=J36,"Xong đúng hạn","Xong trễ")),IF(J36="","Chưa có hạn",IF(J36&lt;TODAY(),"Quá hạn",IF(J36=TODAY(),"Đến hạn hôm nay",IF(J36-TODAY()&lt;=3,"Sắp đến hạn","Trong hạn"))))))</f>
        <v/>
      </c>
      <c r="Q36" s="9" t="str">
        <f aca="false">IF(OR(C36="",J36=""),"",WEEKNUM(J36,21))</f>
        <v/>
      </c>
      <c r="R36" s="2"/>
      <c r="S36" s="9" t="str">
        <f aca="true">IF(AND(C36&lt;&gt;"",K36&lt;&gt;"Hoàn thành",J36&lt;&gt;"",J36&lt;=TODAY()),MAX(S$5:S35)+1,"")</f>
        <v/>
      </c>
      <c r="T36" s="9" t="str">
        <f aca="false">IF(AND(C36&lt;&gt;"",IF(K36="","Chưa làm",K36)="Chưa làm"),MAX(T$5:T35)+1,"")</f>
        <v/>
      </c>
      <c r="U36" s="9" t="str">
        <f aca="false">IF(AND(C36&lt;&gt;"",IF(K36="","Chưa làm",K36)="Đang làm"),MAX(U$5:U35)+1,"")</f>
        <v/>
      </c>
      <c r="V36" s="9" t="str">
        <f aca="false">IF(AND(C36&lt;&gt;"",IF(K36="","Chưa làm",K36)="Chờ duyệt"),MAX(V$5:V35)+1,"")</f>
        <v/>
      </c>
      <c r="W36" s="9" t="str">
        <f aca="false">IF(AND(C36&lt;&gt;"",IF(K36="","Chưa làm",K36)="Hoàn thành"),MAX(W$5:W35)+1,"")</f>
        <v/>
      </c>
      <c r="X36" s="9" t="str">
        <f aca="false">IF(AND(C36&lt;&gt;"",K36&lt;&gt;"Hoàn thành",N36="1. Làm ngay"),MAX(X$5:X35)+1,"")</f>
        <v/>
      </c>
      <c r="Y36" s="9" t="str">
        <f aca="false">IF(AND(C36&lt;&gt;"",K36&lt;&gt;"Hoàn thành",N36="2. Lên lịch"),MAX(Y$5:Y35)+1,"")</f>
        <v/>
      </c>
      <c r="Z36" s="9" t="str">
        <f aca="false">IF(AND(C36&lt;&gt;"",K36&lt;&gt;"Hoàn thành",N36="3. Giao lại"),MAX(Z$5:Z35)+1,"")</f>
        <v/>
      </c>
      <c r="AA36" s="9" t="str">
        <f aca="false">IF(AND(C36&lt;&gt;"",K36&lt;&gt;"Hoàn thành",N36="4. Để sau"),MAX(AA$5:AA35)+1,"")</f>
        <v/>
      </c>
      <c r="AB36" s="9" t="str">
        <f aca="false">IF(AND(C36&lt;&gt;"",J36&lt;&gt;"",J36&gt;=TUAN!$C$3,J36&lt;=TUAN!$C$3+6),MAX(AB$5:AB35)+1,"")</f>
        <v/>
      </c>
    </row>
    <row r="37" customFormat="false" ht="15" hidden="false" customHeight="false" outlineLevel="0" collapsed="false">
      <c r="A37" s="9" t="str">
        <f aca="false">IF(C37="","","CV"&amp;TEXT(ROW()-5,"000"))</f>
        <v/>
      </c>
      <c r="B37" s="10"/>
      <c r="C37" s="11"/>
      <c r="D37" s="12"/>
      <c r="E37" s="12"/>
      <c r="F37" s="12"/>
      <c r="G37" s="12"/>
      <c r="H37" s="12"/>
      <c r="I37" s="12"/>
      <c r="J37" s="10"/>
      <c r="K37" s="12"/>
      <c r="L37" s="10"/>
      <c r="M37" s="12"/>
      <c r="N37" s="9" t="str">
        <f aca="false">IF(C37="","",IF(AND(H37="Có",I37="Có"),"1. Làm ngay",IF(H37="Có","2. Lên lịch",IF(I37="Có","3. Giao lại","4. Để sau"))))</f>
        <v/>
      </c>
      <c r="O37" s="9" t="str">
        <f aca="true">IF(OR(C37="",J37="",K37="Hoàn thành"),"",J37-TODAY())</f>
        <v/>
      </c>
      <c r="P37" s="9" t="str">
        <f aca="true">IF(C37="","",IF(K37="Hoàn thành",IF(OR(L37="",J37=""),"Xong (thiếu ngày)",IF(L37&lt;=J37,"Xong đúng hạn","Xong trễ")),IF(J37="","Chưa có hạn",IF(J37&lt;TODAY(),"Quá hạn",IF(J37=TODAY(),"Đến hạn hôm nay",IF(J37-TODAY()&lt;=3,"Sắp đến hạn","Trong hạn"))))))</f>
        <v/>
      </c>
      <c r="Q37" s="9" t="str">
        <f aca="false">IF(OR(C37="",J37=""),"",WEEKNUM(J37,21))</f>
        <v/>
      </c>
      <c r="R37" s="2"/>
      <c r="S37" s="9" t="str">
        <f aca="true">IF(AND(C37&lt;&gt;"",K37&lt;&gt;"Hoàn thành",J37&lt;&gt;"",J37&lt;=TODAY()),MAX(S$5:S36)+1,"")</f>
        <v/>
      </c>
      <c r="T37" s="9" t="str">
        <f aca="false">IF(AND(C37&lt;&gt;"",IF(K37="","Chưa làm",K37)="Chưa làm"),MAX(T$5:T36)+1,"")</f>
        <v/>
      </c>
      <c r="U37" s="9" t="str">
        <f aca="false">IF(AND(C37&lt;&gt;"",IF(K37="","Chưa làm",K37)="Đang làm"),MAX(U$5:U36)+1,"")</f>
        <v/>
      </c>
      <c r="V37" s="9" t="str">
        <f aca="false">IF(AND(C37&lt;&gt;"",IF(K37="","Chưa làm",K37)="Chờ duyệt"),MAX(V$5:V36)+1,"")</f>
        <v/>
      </c>
      <c r="W37" s="9" t="str">
        <f aca="false">IF(AND(C37&lt;&gt;"",IF(K37="","Chưa làm",K37)="Hoàn thành"),MAX(W$5:W36)+1,"")</f>
        <v/>
      </c>
      <c r="X37" s="9" t="str">
        <f aca="false">IF(AND(C37&lt;&gt;"",K37&lt;&gt;"Hoàn thành",N37="1. Làm ngay"),MAX(X$5:X36)+1,"")</f>
        <v/>
      </c>
      <c r="Y37" s="9" t="str">
        <f aca="false">IF(AND(C37&lt;&gt;"",K37&lt;&gt;"Hoàn thành",N37="2. Lên lịch"),MAX(Y$5:Y36)+1,"")</f>
        <v/>
      </c>
      <c r="Z37" s="9" t="str">
        <f aca="false">IF(AND(C37&lt;&gt;"",K37&lt;&gt;"Hoàn thành",N37="3. Giao lại"),MAX(Z$5:Z36)+1,"")</f>
        <v/>
      </c>
      <c r="AA37" s="9" t="str">
        <f aca="false">IF(AND(C37&lt;&gt;"",K37&lt;&gt;"Hoàn thành",N37="4. Để sau"),MAX(AA$5:AA36)+1,"")</f>
        <v/>
      </c>
      <c r="AB37" s="9" t="str">
        <f aca="false">IF(AND(C37&lt;&gt;"",J37&lt;&gt;"",J37&gt;=TUAN!$C$3,J37&lt;=TUAN!$C$3+6),MAX(AB$5:AB36)+1,"")</f>
        <v/>
      </c>
    </row>
    <row r="38" customFormat="false" ht="15" hidden="false" customHeight="false" outlineLevel="0" collapsed="false">
      <c r="A38" s="9" t="str">
        <f aca="false">IF(C38="","","CV"&amp;TEXT(ROW()-5,"000"))</f>
        <v/>
      </c>
      <c r="B38" s="10"/>
      <c r="C38" s="11"/>
      <c r="D38" s="12"/>
      <c r="E38" s="12"/>
      <c r="F38" s="12"/>
      <c r="G38" s="12"/>
      <c r="H38" s="12"/>
      <c r="I38" s="12"/>
      <c r="J38" s="10"/>
      <c r="K38" s="12"/>
      <c r="L38" s="10"/>
      <c r="M38" s="12"/>
      <c r="N38" s="9" t="str">
        <f aca="false">IF(C38="","",IF(AND(H38="Có",I38="Có"),"1. Làm ngay",IF(H38="Có","2. Lên lịch",IF(I38="Có","3. Giao lại","4. Để sau"))))</f>
        <v/>
      </c>
      <c r="O38" s="9" t="str">
        <f aca="true">IF(OR(C38="",J38="",K38="Hoàn thành"),"",J38-TODAY())</f>
        <v/>
      </c>
      <c r="P38" s="9" t="str">
        <f aca="true">IF(C38="","",IF(K38="Hoàn thành",IF(OR(L38="",J38=""),"Xong (thiếu ngày)",IF(L38&lt;=J38,"Xong đúng hạn","Xong trễ")),IF(J38="","Chưa có hạn",IF(J38&lt;TODAY(),"Quá hạn",IF(J38=TODAY(),"Đến hạn hôm nay",IF(J38-TODAY()&lt;=3,"Sắp đến hạn","Trong hạn"))))))</f>
        <v/>
      </c>
      <c r="Q38" s="9" t="str">
        <f aca="false">IF(OR(C38="",J38=""),"",WEEKNUM(J38,21))</f>
        <v/>
      </c>
      <c r="R38" s="2"/>
      <c r="S38" s="9" t="str">
        <f aca="true">IF(AND(C38&lt;&gt;"",K38&lt;&gt;"Hoàn thành",J38&lt;&gt;"",J38&lt;=TODAY()),MAX(S$5:S37)+1,"")</f>
        <v/>
      </c>
      <c r="T38" s="9" t="str">
        <f aca="false">IF(AND(C38&lt;&gt;"",IF(K38="","Chưa làm",K38)="Chưa làm"),MAX(T$5:T37)+1,"")</f>
        <v/>
      </c>
      <c r="U38" s="9" t="str">
        <f aca="false">IF(AND(C38&lt;&gt;"",IF(K38="","Chưa làm",K38)="Đang làm"),MAX(U$5:U37)+1,"")</f>
        <v/>
      </c>
      <c r="V38" s="9" t="str">
        <f aca="false">IF(AND(C38&lt;&gt;"",IF(K38="","Chưa làm",K38)="Chờ duyệt"),MAX(V$5:V37)+1,"")</f>
        <v/>
      </c>
      <c r="W38" s="9" t="str">
        <f aca="false">IF(AND(C38&lt;&gt;"",IF(K38="","Chưa làm",K38)="Hoàn thành"),MAX(W$5:W37)+1,"")</f>
        <v/>
      </c>
      <c r="X38" s="9" t="str">
        <f aca="false">IF(AND(C38&lt;&gt;"",K38&lt;&gt;"Hoàn thành",N38="1. Làm ngay"),MAX(X$5:X37)+1,"")</f>
        <v/>
      </c>
      <c r="Y38" s="9" t="str">
        <f aca="false">IF(AND(C38&lt;&gt;"",K38&lt;&gt;"Hoàn thành",N38="2. Lên lịch"),MAX(Y$5:Y37)+1,"")</f>
        <v/>
      </c>
      <c r="Z38" s="9" t="str">
        <f aca="false">IF(AND(C38&lt;&gt;"",K38&lt;&gt;"Hoàn thành",N38="3. Giao lại"),MAX(Z$5:Z37)+1,"")</f>
        <v/>
      </c>
      <c r="AA38" s="9" t="str">
        <f aca="false">IF(AND(C38&lt;&gt;"",K38&lt;&gt;"Hoàn thành",N38="4. Để sau"),MAX(AA$5:AA37)+1,"")</f>
        <v/>
      </c>
      <c r="AB38" s="9" t="str">
        <f aca="false">IF(AND(C38&lt;&gt;"",J38&lt;&gt;"",J38&gt;=TUAN!$C$3,J38&lt;=TUAN!$C$3+6),MAX(AB$5:AB37)+1,"")</f>
        <v/>
      </c>
    </row>
    <row r="39" customFormat="false" ht="15" hidden="false" customHeight="false" outlineLevel="0" collapsed="false">
      <c r="A39" s="9" t="str">
        <f aca="false">IF(C39="","","CV"&amp;TEXT(ROW()-5,"000"))</f>
        <v/>
      </c>
      <c r="B39" s="10"/>
      <c r="C39" s="11"/>
      <c r="D39" s="12"/>
      <c r="E39" s="12"/>
      <c r="F39" s="12"/>
      <c r="G39" s="12"/>
      <c r="H39" s="12"/>
      <c r="I39" s="12"/>
      <c r="J39" s="10"/>
      <c r="K39" s="12"/>
      <c r="L39" s="10"/>
      <c r="M39" s="12"/>
      <c r="N39" s="9" t="str">
        <f aca="false">IF(C39="","",IF(AND(H39="Có",I39="Có"),"1. Làm ngay",IF(H39="Có","2. Lên lịch",IF(I39="Có","3. Giao lại","4. Để sau"))))</f>
        <v/>
      </c>
      <c r="O39" s="9" t="str">
        <f aca="true">IF(OR(C39="",J39="",K39="Hoàn thành"),"",J39-TODAY())</f>
        <v/>
      </c>
      <c r="P39" s="9" t="str">
        <f aca="true">IF(C39="","",IF(K39="Hoàn thành",IF(OR(L39="",J39=""),"Xong (thiếu ngày)",IF(L39&lt;=J39,"Xong đúng hạn","Xong trễ")),IF(J39="","Chưa có hạn",IF(J39&lt;TODAY(),"Quá hạn",IF(J39=TODAY(),"Đến hạn hôm nay",IF(J39-TODAY()&lt;=3,"Sắp đến hạn","Trong hạn"))))))</f>
        <v/>
      </c>
      <c r="Q39" s="9" t="str">
        <f aca="false">IF(OR(C39="",J39=""),"",WEEKNUM(J39,21))</f>
        <v/>
      </c>
      <c r="R39" s="2"/>
      <c r="S39" s="9" t="str">
        <f aca="true">IF(AND(C39&lt;&gt;"",K39&lt;&gt;"Hoàn thành",J39&lt;&gt;"",J39&lt;=TODAY()),MAX(S$5:S38)+1,"")</f>
        <v/>
      </c>
      <c r="T39" s="9" t="str">
        <f aca="false">IF(AND(C39&lt;&gt;"",IF(K39="","Chưa làm",K39)="Chưa làm"),MAX(T$5:T38)+1,"")</f>
        <v/>
      </c>
      <c r="U39" s="9" t="str">
        <f aca="false">IF(AND(C39&lt;&gt;"",IF(K39="","Chưa làm",K39)="Đang làm"),MAX(U$5:U38)+1,"")</f>
        <v/>
      </c>
      <c r="V39" s="9" t="str">
        <f aca="false">IF(AND(C39&lt;&gt;"",IF(K39="","Chưa làm",K39)="Chờ duyệt"),MAX(V$5:V38)+1,"")</f>
        <v/>
      </c>
      <c r="W39" s="9" t="str">
        <f aca="false">IF(AND(C39&lt;&gt;"",IF(K39="","Chưa làm",K39)="Hoàn thành"),MAX(W$5:W38)+1,"")</f>
        <v/>
      </c>
      <c r="X39" s="9" t="str">
        <f aca="false">IF(AND(C39&lt;&gt;"",K39&lt;&gt;"Hoàn thành",N39="1. Làm ngay"),MAX(X$5:X38)+1,"")</f>
        <v/>
      </c>
      <c r="Y39" s="9" t="str">
        <f aca="false">IF(AND(C39&lt;&gt;"",K39&lt;&gt;"Hoàn thành",N39="2. Lên lịch"),MAX(Y$5:Y38)+1,"")</f>
        <v/>
      </c>
      <c r="Z39" s="9" t="str">
        <f aca="false">IF(AND(C39&lt;&gt;"",K39&lt;&gt;"Hoàn thành",N39="3. Giao lại"),MAX(Z$5:Z38)+1,"")</f>
        <v/>
      </c>
      <c r="AA39" s="9" t="str">
        <f aca="false">IF(AND(C39&lt;&gt;"",K39&lt;&gt;"Hoàn thành",N39="4. Để sau"),MAX(AA$5:AA38)+1,"")</f>
        <v/>
      </c>
      <c r="AB39" s="9" t="str">
        <f aca="false">IF(AND(C39&lt;&gt;"",J39&lt;&gt;"",J39&gt;=TUAN!$C$3,J39&lt;=TUAN!$C$3+6),MAX(AB$5:AB38)+1,"")</f>
        <v/>
      </c>
    </row>
    <row r="40" customFormat="false" ht="15" hidden="false" customHeight="false" outlineLevel="0" collapsed="false">
      <c r="A40" s="9" t="str">
        <f aca="false">IF(C40="","","CV"&amp;TEXT(ROW()-5,"000"))</f>
        <v/>
      </c>
      <c r="B40" s="10"/>
      <c r="C40" s="11"/>
      <c r="D40" s="12"/>
      <c r="E40" s="12"/>
      <c r="F40" s="12"/>
      <c r="G40" s="12"/>
      <c r="H40" s="12"/>
      <c r="I40" s="12"/>
      <c r="J40" s="10"/>
      <c r="K40" s="12"/>
      <c r="L40" s="10"/>
      <c r="M40" s="12"/>
      <c r="N40" s="9" t="str">
        <f aca="false">IF(C40="","",IF(AND(H40="Có",I40="Có"),"1. Làm ngay",IF(H40="Có","2. Lên lịch",IF(I40="Có","3. Giao lại","4. Để sau"))))</f>
        <v/>
      </c>
      <c r="O40" s="9" t="str">
        <f aca="true">IF(OR(C40="",J40="",K40="Hoàn thành"),"",J40-TODAY())</f>
        <v/>
      </c>
      <c r="P40" s="9" t="str">
        <f aca="true">IF(C40="","",IF(K40="Hoàn thành",IF(OR(L40="",J40=""),"Xong (thiếu ngày)",IF(L40&lt;=J40,"Xong đúng hạn","Xong trễ")),IF(J40="","Chưa có hạn",IF(J40&lt;TODAY(),"Quá hạn",IF(J40=TODAY(),"Đến hạn hôm nay",IF(J40-TODAY()&lt;=3,"Sắp đến hạn","Trong hạn"))))))</f>
        <v/>
      </c>
      <c r="Q40" s="9" t="str">
        <f aca="false">IF(OR(C40="",J40=""),"",WEEKNUM(J40,21))</f>
        <v/>
      </c>
      <c r="R40" s="2"/>
      <c r="S40" s="9" t="str">
        <f aca="true">IF(AND(C40&lt;&gt;"",K40&lt;&gt;"Hoàn thành",J40&lt;&gt;"",J40&lt;=TODAY()),MAX(S$5:S39)+1,"")</f>
        <v/>
      </c>
      <c r="T40" s="9" t="str">
        <f aca="false">IF(AND(C40&lt;&gt;"",IF(K40="","Chưa làm",K40)="Chưa làm"),MAX(T$5:T39)+1,"")</f>
        <v/>
      </c>
      <c r="U40" s="9" t="str">
        <f aca="false">IF(AND(C40&lt;&gt;"",IF(K40="","Chưa làm",K40)="Đang làm"),MAX(U$5:U39)+1,"")</f>
        <v/>
      </c>
      <c r="V40" s="9" t="str">
        <f aca="false">IF(AND(C40&lt;&gt;"",IF(K40="","Chưa làm",K40)="Chờ duyệt"),MAX(V$5:V39)+1,"")</f>
        <v/>
      </c>
      <c r="W40" s="9" t="str">
        <f aca="false">IF(AND(C40&lt;&gt;"",IF(K40="","Chưa làm",K40)="Hoàn thành"),MAX(W$5:W39)+1,"")</f>
        <v/>
      </c>
      <c r="X40" s="9" t="str">
        <f aca="false">IF(AND(C40&lt;&gt;"",K40&lt;&gt;"Hoàn thành",N40="1. Làm ngay"),MAX(X$5:X39)+1,"")</f>
        <v/>
      </c>
      <c r="Y40" s="9" t="str">
        <f aca="false">IF(AND(C40&lt;&gt;"",K40&lt;&gt;"Hoàn thành",N40="2. Lên lịch"),MAX(Y$5:Y39)+1,"")</f>
        <v/>
      </c>
      <c r="Z40" s="9" t="str">
        <f aca="false">IF(AND(C40&lt;&gt;"",K40&lt;&gt;"Hoàn thành",N40="3. Giao lại"),MAX(Z$5:Z39)+1,"")</f>
        <v/>
      </c>
      <c r="AA40" s="9" t="str">
        <f aca="false">IF(AND(C40&lt;&gt;"",K40&lt;&gt;"Hoàn thành",N40="4. Để sau"),MAX(AA$5:AA39)+1,"")</f>
        <v/>
      </c>
      <c r="AB40" s="9" t="str">
        <f aca="false">IF(AND(C40&lt;&gt;"",J40&lt;&gt;"",J40&gt;=TUAN!$C$3,J40&lt;=TUAN!$C$3+6),MAX(AB$5:AB39)+1,"")</f>
        <v/>
      </c>
    </row>
    <row r="41" customFormat="false" ht="15" hidden="false" customHeight="false" outlineLevel="0" collapsed="false">
      <c r="A41" s="9" t="str">
        <f aca="false">IF(C41="","","CV"&amp;TEXT(ROW()-5,"000"))</f>
        <v/>
      </c>
      <c r="B41" s="10"/>
      <c r="C41" s="11"/>
      <c r="D41" s="12"/>
      <c r="E41" s="12"/>
      <c r="F41" s="12"/>
      <c r="G41" s="12"/>
      <c r="H41" s="12"/>
      <c r="I41" s="12"/>
      <c r="J41" s="10"/>
      <c r="K41" s="12"/>
      <c r="L41" s="10"/>
      <c r="M41" s="12"/>
      <c r="N41" s="9" t="str">
        <f aca="false">IF(C41="","",IF(AND(H41="Có",I41="Có"),"1. Làm ngay",IF(H41="Có","2. Lên lịch",IF(I41="Có","3. Giao lại","4. Để sau"))))</f>
        <v/>
      </c>
      <c r="O41" s="9" t="str">
        <f aca="true">IF(OR(C41="",J41="",K41="Hoàn thành"),"",J41-TODAY())</f>
        <v/>
      </c>
      <c r="P41" s="9" t="str">
        <f aca="true">IF(C41="","",IF(K41="Hoàn thành",IF(OR(L41="",J41=""),"Xong (thiếu ngày)",IF(L41&lt;=J41,"Xong đúng hạn","Xong trễ")),IF(J41="","Chưa có hạn",IF(J41&lt;TODAY(),"Quá hạn",IF(J41=TODAY(),"Đến hạn hôm nay",IF(J41-TODAY()&lt;=3,"Sắp đến hạn","Trong hạn"))))))</f>
        <v/>
      </c>
      <c r="Q41" s="9" t="str">
        <f aca="false">IF(OR(C41="",J41=""),"",WEEKNUM(J41,21))</f>
        <v/>
      </c>
      <c r="R41" s="2"/>
      <c r="S41" s="9" t="str">
        <f aca="true">IF(AND(C41&lt;&gt;"",K41&lt;&gt;"Hoàn thành",J41&lt;&gt;"",J41&lt;=TODAY()),MAX(S$5:S40)+1,"")</f>
        <v/>
      </c>
      <c r="T41" s="9" t="str">
        <f aca="false">IF(AND(C41&lt;&gt;"",IF(K41="","Chưa làm",K41)="Chưa làm"),MAX(T$5:T40)+1,"")</f>
        <v/>
      </c>
      <c r="U41" s="9" t="str">
        <f aca="false">IF(AND(C41&lt;&gt;"",IF(K41="","Chưa làm",K41)="Đang làm"),MAX(U$5:U40)+1,"")</f>
        <v/>
      </c>
      <c r="V41" s="9" t="str">
        <f aca="false">IF(AND(C41&lt;&gt;"",IF(K41="","Chưa làm",K41)="Chờ duyệt"),MAX(V$5:V40)+1,"")</f>
        <v/>
      </c>
      <c r="W41" s="9" t="str">
        <f aca="false">IF(AND(C41&lt;&gt;"",IF(K41="","Chưa làm",K41)="Hoàn thành"),MAX(W$5:W40)+1,"")</f>
        <v/>
      </c>
      <c r="X41" s="9" t="str">
        <f aca="false">IF(AND(C41&lt;&gt;"",K41&lt;&gt;"Hoàn thành",N41="1. Làm ngay"),MAX(X$5:X40)+1,"")</f>
        <v/>
      </c>
      <c r="Y41" s="9" t="str">
        <f aca="false">IF(AND(C41&lt;&gt;"",K41&lt;&gt;"Hoàn thành",N41="2. Lên lịch"),MAX(Y$5:Y40)+1,"")</f>
        <v/>
      </c>
      <c r="Z41" s="9" t="str">
        <f aca="false">IF(AND(C41&lt;&gt;"",K41&lt;&gt;"Hoàn thành",N41="3. Giao lại"),MAX(Z$5:Z40)+1,"")</f>
        <v/>
      </c>
      <c r="AA41" s="9" t="str">
        <f aca="false">IF(AND(C41&lt;&gt;"",K41&lt;&gt;"Hoàn thành",N41="4. Để sau"),MAX(AA$5:AA40)+1,"")</f>
        <v/>
      </c>
      <c r="AB41" s="9" t="str">
        <f aca="false">IF(AND(C41&lt;&gt;"",J41&lt;&gt;"",J41&gt;=TUAN!$C$3,J41&lt;=TUAN!$C$3+6),MAX(AB$5:AB40)+1,"")</f>
        <v/>
      </c>
    </row>
    <row r="42" customFormat="false" ht="15" hidden="false" customHeight="false" outlineLevel="0" collapsed="false">
      <c r="A42" s="9" t="str">
        <f aca="false">IF(C42="","","CV"&amp;TEXT(ROW()-5,"000"))</f>
        <v/>
      </c>
      <c r="B42" s="10"/>
      <c r="C42" s="11"/>
      <c r="D42" s="12"/>
      <c r="E42" s="12"/>
      <c r="F42" s="12"/>
      <c r="G42" s="12"/>
      <c r="H42" s="12"/>
      <c r="I42" s="12"/>
      <c r="J42" s="10"/>
      <c r="K42" s="12"/>
      <c r="L42" s="10"/>
      <c r="M42" s="12"/>
      <c r="N42" s="9" t="str">
        <f aca="false">IF(C42="","",IF(AND(H42="Có",I42="Có"),"1. Làm ngay",IF(H42="Có","2. Lên lịch",IF(I42="Có","3. Giao lại","4. Để sau"))))</f>
        <v/>
      </c>
      <c r="O42" s="9" t="str">
        <f aca="true">IF(OR(C42="",J42="",K42="Hoàn thành"),"",J42-TODAY())</f>
        <v/>
      </c>
      <c r="P42" s="9" t="str">
        <f aca="true">IF(C42="","",IF(K42="Hoàn thành",IF(OR(L42="",J42=""),"Xong (thiếu ngày)",IF(L42&lt;=J42,"Xong đúng hạn","Xong trễ")),IF(J42="","Chưa có hạn",IF(J42&lt;TODAY(),"Quá hạn",IF(J42=TODAY(),"Đến hạn hôm nay",IF(J42-TODAY()&lt;=3,"Sắp đến hạn","Trong hạn"))))))</f>
        <v/>
      </c>
      <c r="Q42" s="9" t="str">
        <f aca="false">IF(OR(C42="",J42=""),"",WEEKNUM(J42,21))</f>
        <v/>
      </c>
      <c r="R42" s="2"/>
      <c r="S42" s="9" t="str">
        <f aca="true">IF(AND(C42&lt;&gt;"",K42&lt;&gt;"Hoàn thành",J42&lt;&gt;"",J42&lt;=TODAY()),MAX(S$5:S41)+1,"")</f>
        <v/>
      </c>
      <c r="T42" s="9" t="str">
        <f aca="false">IF(AND(C42&lt;&gt;"",IF(K42="","Chưa làm",K42)="Chưa làm"),MAX(T$5:T41)+1,"")</f>
        <v/>
      </c>
      <c r="U42" s="9" t="str">
        <f aca="false">IF(AND(C42&lt;&gt;"",IF(K42="","Chưa làm",K42)="Đang làm"),MAX(U$5:U41)+1,"")</f>
        <v/>
      </c>
      <c r="V42" s="9" t="str">
        <f aca="false">IF(AND(C42&lt;&gt;"",IF(K42="","Chưa làm",K42)="Chờ duyệt"),MAX(V$5:V41)+1,"")</f>
        <v/>
      </c>
      <c r="W42" s="9" t="str">
        <f aca="false">IF(AND(C42&lt;&gt;"",IF(K42="","Chưa làm",K42)="Hoàn thành"),MAX(W$5:W41)+1,"")</f>
        <v/>
      </c>
      <c r="X42" s="9" t="str">
        <f aca="false">IF(AND(C42&lt;&gt;"",K42&lt;&gt;"Hoàn thành",N42="1. Làm ngay"),MAX(X$5:X41)+1,"")</f>
        <v/>
      </c>
      <c r="Y42" s="9" t="str">
        <f aca="false">IF(AND(C42&lt;&gt;"",K42&lt;&gt;"Hoàn thành",N42="2. Lên lịch"),MAX(Y$5:Y41)+1,"")</f>
        <v/>
      </c>
      <c r="Z42" s="9" t="str">
        <f aca="false">IF(AND(C42&lt;&gt;"",K42&lt;&gt;"Hoàn thành",N42="3. Giao lại"),MAX(Z$5:Z41)+1,"")</f>
        <v/>
      </c>
      <c r="AA42" s="9" t="str">
        <f aca="false">IF(AND(C42&lt;&gt;"",K42&lt;&gt;"Hoàn thành",N42="4. Để sau"),MAX(AA$5:AA41)+1,"")</f>
        <v/>
      </c>
      <c r="AB42" s="9" t="str">
        <f aca="false">IF(AND(C42&lt;&gt;"",J42&lt;&gt;"",J42&gt;=TUAN!$C$3,J42&lt;=TUAN!$C$3+6),MAX(AB$5:AB41)+1,"")</f>
        <v/>
      </c>
    </row>
    <row r="43" customFormat="false" ht="15" hidden="false" customHeight="false" outlineLevel="0" collapsed="false">
      <c r="A43" s="9" t="str">
        <f aca="false">IF(C43="","","CV"&amp;TEXT(ROW()-5,"000"))</f>
        <v/>
      </c>
      <c r="B43" s="10"/>
      <c r="C43" s="11"/>
      <c r="D43" s="12"/>
      <c r="E43" s="12"/>
      <c r="F43" s="12"/>
      <c r="G43" s="12"/>
      <c r="H43" s="12"/>
      <c r="I43" s="12"/>
      <c r="J43" s="10"/>
      <c r="K43" s="12"/>
      <c r="L43" s="10"/>
      <c r="M43" s="12"/>
      <c r="N43" s="9" t="str">
        <f aca="false">IF(C43="","",IF(AND(H43="Có",I43="Có"),"1. Làm ngay",IF(H43="Có","2. Lên lịch",IF(I43="Có","3. Giao lại","4. Để sau"))))</f>
        <v/>
      </c>
      <c r="O43" s="9" t="str">
        <f aca="true">IF(OR(C43="",J43="",K43="Hoàn thành"),"",J43-TODAY())</f>
        <v/>
      </c>
      <c r="P43" s="9" t="str">
        <f aca="true">IF(C43="","",IF(K43="Hoàn thành",IF(OR(L43="",J43=""),"Xong (thiếu ngày)",IF(L43&lt;=J43,"Xong đúng hạn","Xong trễ")),IF(J43="","Chưa có hạn",IF(J43&lt;TODAY(),"Quá hạn",IF(J43=TODAY(),"Đến hạn hôm nay",IF(J43-TODAY()&lt;=3,"Sắp đến hạn","Trong hạn"))))))</f>
        <v/>
      </c>
      <c r="Q43" s="9" t="str">
        <f aca="false">IF(OR(C43="",J43=""),"",WEEKNUM(J43,21))</f>
        <v/>
      </c>
      <c r="R43" s="2"/>
      <c r="S43" s="9" t="str">
        <f aca="true">IF(AND(C43&lt;&gt;"",K43&lt;&gt;"Hoàn thành",J43&lt;&gt;"",J43&lt;=TODAY()),MAX(S$5:S42)+1,"")</f>
        <v/>
      </c>
      <c r="T43" s="9" t="str">
        <f aca="false">IF(AND(C43&lt;&gt;"",IF(K43="","Chưa làm",K43)="Chưa làm"),MAX(T$5:T42)+1,"")</f>
        <v/>
      </c>
      <c r="U43" s="9" t="str">
        <f aca="false">IF(AND(C43&lt;&gt;"",IF(K43="","Chưa làm",K43)="Đang làm"),MAX(U$5:U42)+1,"")</f>
        <v/>
      </c>
      <c r="V43" s="9" t="str">
        <f aca="false">IF(AND(C43&lt;&gt;"",IF(K43="","Chưa làm",K43)="Chờ duyệt"),MAX(V$5:V42)+1,"")</f>
        <v/>
      </c>
      <c r="W43" s="9" t="str">
        <f aca="false">IF(AND(C43&lt;&gt;"",IF(K43="","Chưa làm",K43)="Hoàn thành"),MAX(W$5:W42)+1,"")</f>
        <v/>
      </c>
      <c r="X43" s="9" t="str">
        <f aca="false">IF(AND(C43&lt;&gt;"",K43&lt;&gt;"Hoàn thành",N43="1. Làm ngay"),MAX(X$5:X42)+1,"")</f>
        <v/>
      </c>
      <c r="Y43" s="9" t="str">
        <f aca="false">IF(AND(C43&lt;&gt;"",K43&lt;&gt;"Hoàn thành",N43="2. Lên lịch"),MAX(Y$5:Y42)+1,"")</f>
        <v/>
      </c>
      <c r="Z43" s="9" t="str">
        <f aca="false">IF(AND(C43&lt;&gt;"",K43&lt;&gt;"Hoàn thành",N43="3. Giao lại"),MAX(Z$5:Z42)+1,"")</f>
        <v/>
      </c>
      <c r="AA43" s="9" t="str">
        <f aca="false">IF(AND(C43&lt;&gt;"",K43&lt;&gt;"Hoàn thành",N43="4. Để sau"),MAX(AA$5:AA42)+1,"")</f>
        <v/>
      </c>
      <c r="AB43" s="9" t="str">
        <f aca="false">IF(AND(C43&lt;&gt;"",J43&lt;&gt;"",J43&gt;=TUAN!$C$3,J43&lt;=TUAN!$C$3+6),MAX(AB$5:AB42)+1,"")</f>
        <v/>
      </c>
    </row>
    <row r="44" customFormat="false" ht="15" hidden="false" customHeight="false" outlineLevel="0" collapsed="false">
      <c r="A44" s="9" t="str">
        <f aca="false">IF(C44="","","CV"&amp;TEXT(ROW()-5,"000"))</f>
        <v/>
      </c>
      <c r="B44" s="10"/>
      <c r="C44" s="11"/>
      <c r="D44" s="12"/>
      <c r="E44" s="12"/>
      <c r="F44" s="12"/>
      <c r="G44" s="12"/>
      <c r="H44" s="12"/>
      <c r="I44" s="12"/>
      <c r="J44" s="10"/>
      <c r="K44" s="12"/>
      <c r="L44" s="10"/>
      <c r="M44" s="12"/>
      <c r="N44" s="9" t="str">
        <f aca="false">IF(C44="","",IF(AND(H44="Có",I44="Có"),"1. Làm ngay",IF(H44="Có","2. Lên lịch",IF(I44="Có","3. Giao lại","4. Để sau"))))</f>
        <v/>
      </c>
      <c r="O44" s="9" t="str">
        <f aca="true">IF(OR(C44="",J44="",K44="Hoàn thành"),"",J44-TODAY())</f>
        <v/>
      </c>
      <c r="P44" s="9" t="str">
        <f aca="true">IF(C44="","",IF(K44="Hoàn thành",IF(OR(L44="",J44=""),"Xong (thiếu ngày)",IF(L44&lt;=J44,"Xong đúng hạn","Xong trễ")),IF(J44="","Chưa có hạn",IF(J44&lt;TODAY(),"Quá hạn",IF(J44=TODAY(),"Đến hạn hôm nay",IF(J44-TODAY()&lt;=3,"Sắp đến hạn","Trong hạn"))))))</f>
        <v/>
      </c>
      <c r="Q44" s="9" t="str">
        <f aca="false">IF(OR(C44="",J44=""),"",WEEKNUM(J44,21))</f>
        <v/>
      </c>
      <c r="R44" s="2"/>
      <c r="S44" s="9" t="str">
        <f aca="true">IF(AND(C44&lt;&gt;"",K44&lt;&gt;"Hoàn thành",J44&lt;&gt;"",J44&lt;=TODAY()),MAX(S$5:S43)+1,"")</f>
        <v/>
      </c>
      <c r="T44" s="9" t="str">
        <f aca="false">IF(AND(C44&lt;&gt;"",IF(K44="","Chưa làm",K44)="Chưa làm"),MAX(T$5:T43)+1,"")</f>
        <v/>
      </c>
      <c r="U44" s="9" t="str">
        <f aca="false">IF(AND(C44&lt;&gt;"",IF(K44="","Chưa làm",K44)="Đang làm"),MAX(U$5:U43)+1,"")</f>
        <v/>
      </c>
      <c r="V44" s="9" t="str">
        <f aca="false">IF(AND(C44&lt;&gt;"",IF(K44="","Chưa làm",K44)="Chờ duyệt"),MAX(V$5:V43)+1,"")</f>
        <v/>
      </c>
      <c r="W44" s="9" t="str">
        <f aca="false">IF(AND(C44&lt;&gt;"",IF(K44="","Chưa làm",K44)="Hoàn thành"),MAX(W$5:W43)+1,"")</f>
        <v/>
      </c>
      <c r="X44" s="9" t="str">
        <f aca="false">IF(AND(C44&lt;&gt;"",K44&lt;&gt;"Hoàn thành",N44="1. Làm ngay"),MAX(X$5:X43)+1,"")</f>
        <v/>
      </c>
      <c r="Y44" s="9" t="str">
        <f aca="false">IF(AND(C44&lt;&gt;"",K44&lt;&gt;"Hoàn thành",N44="2. Lên lịch"),MAX(Y$5:Y43)+1,"")</f>
        <v/>
      </c>
      <c r="Z44" s="9" t="str">
        <f aca="false">IF(AND(C44&lt;&gt;"",K44&lt;&gt;"Hoàn thành",N44="3. Giao lại"),MAX(Z$5:Z43)+1,"")</f>
        <v/>
      </c>
      <c r="AA44" s="9" t="str">
        <f aca="false">IF(AND(C44&lt;&gt;"",K44&lt;&gt;"Hoàn thành",N44="4. Để sau"),MAX(AA$5:AA43)+1,"")</f>
        <v/>
      </c>
      <c r="AB44" s="9" t="str">
        <f aca="false">IF(AND(C44&lt;&gt;"",J44&lt;&gt;"",J44&gt;=TUAN!$C$3,J44&lt;=TUAN!$C$3+6),MAX(AB$5:AB43)+1,"")</f>
        <v/>
      </c>
    </row>
    <row r="45" customFormat="false" ht="15" hidden="false" customHeight="false" outlineLevel="0" collapsed="false">
      <c r="A45" s="9" t="str">
        <f aca="false">IF(C45="","","CV"&amp;TEXT(ROW()-5,"000"))</f>
        <v/>
      </c>
      <c r="B45" s="10"/>
      <c r="C45" s="11"/>
      <c r="D45" s="12"/>
      <c r="E45" s="12"/>
      <c r="F45" s="12"/>
      <c r="G45" s="12"/>
      <c r="H45" s="12"/>
      <c r="I45" s="12"/>
      <c r="J45" s="10"/>
      <c r="K45" s="12"/>
      <c r="L45" s="10"/>
      <c r="M45" s="12"/>
      <c r="N45" s="9" t="str">
        <f aca="false">IF(C45="","",IF(AND(H45="Có",I45="Có"),"1. Làm ngay",IF(H45="Có","2. Lên lịch",IF(I45="Có","3. Giao lại","4. Để sau"))))</f>
        <v/>
      </c>
      <c r="O45" s="9" t="str">
        <f aca="true">IF(OR(C45="",J45="",K45="Hoàn thành"),"",J45-TODAY())</f>
        <v/>
      </c>
      <c r="P45" s="9" t="str">
        <f aca="true">IF(C45="","",IF(K45="Hoàn thành",IF(OR(L45="",J45=""),"Xong (thiếu ngày)",IF(L45&lt;=J45,"Xong đúng hạn","Xong trễ")),IF(J45="","Chưa có hạn",IF(J45&lt;TODAY(),"Quá hạn",IF(J45=TODAY(),"Đến hạn hôm nay",IF(J45-TODAY()&lt;=3,"Sắp đến hạn","Trong hạn"))))))</f>
        <v/>
      </c>
      <c r="Q45" s="9" t="str">
        <f aca="false">IF(OR(C45="",J45=""),"",WEEKNUM(J45,21))</f>
        <v/>
      </c>
      <c r="R45" s="2"/>
      <c r="S45" s="9" t="str">
        <f aca="true">IF(AND(C45&lt;&gt;"",K45&lt;&gt;"Hoàn thành",J45&lt;&gt;"",J45&lt;=TODAY()),MAX(S$5:S44)+1,"")</f>
        <v/>
      </c>
      <c r="T45" s="9" t="str">
        <f aca="false">IF(AND(C45&lt;&gt;"",IF(K45="","Chưa làm",K45)="Chưa làm"),MAX(T$5:T44)+1,"")</f>
        <v/>
      </c>
      <c r="U45" s="9" t="str">
        <f aca="false">IF(AND(C45&lt;&gt;"",IF(K45="","Chưa làm",K45)="Đang làm"),MAX(U$5:U44)+1,"")</f>
        <v/>
      </c>
      <c r="V45" s="9" t="str">
        <f aca="false">IF(AND(C45&lt;&gt;"",IF(K45="","Chưa làm",K45)="Chờ duyệt"),MAX(V$5:V44)+1,"")</f>
        <v/>
      </c>
      <c r="W45" s="9" t="str">
        <f aca="false">IF(AND(C45&lt;&gt;"",IF(K45="","Chưa làm",K45)="Hoàn thành"),MAX(W$5:W44)+1,"")</f>
        <v/>
      </c>
      <c r="X45" s="9" t="str">
        <f aca="false">IF(AND(C45&lt;&gt;"",K45&lt;&gt;"Hoàn thành",N45="1. Làm ngay"),MAX(X$5:X44)+1,"")</f>
        <v/>
      </c>
      <c r="Y45" s="9" t="str">
        <f aca="false">IF(AND(C45&lt;&gt;"",K45&lt;&gt;"Hoàn thành",N45="2. Lên lịch"),MAX(Y$5:Y44)+1,"")</f>
        <v/>
      </c>
      <c r="Z45" s="9" t="str">
        <f aca="false">IF(AND(C45&lt;&gt;"",K45&lt;&gt;"Hoàn thành",N45="3. Giao lại"),MAX(Z$5:Z44)+1,"")</f>
        <v/>
      </c>
      <c r="AA45" s="9" t="str">
        <f aca="false">IF(AND(C45&lt;&gt;"",K45&lt;&gt;"Hoàn thành",N45="4. Để sau"),MAX(AA$5:AA44)+1,"")</f>
        <v/>
      </c>
      <c r="AB45" s="9" t="str">
        <f aca="false">IF(AND(C45&lt;&gt;"",J45&lt;&gt;"",J45&gt;=TUAN!$C$3,J45&lt;=TUAN!$C$3+6),MAX(AB$5:AB44)+1,"")</f>
        <v/>
      </c>
    </row>
    <row r="46" customFormat="false" ht="15" hidden="false" customHeight="false" outlineLevel="0" collapsed="false">
      <c r="A46" s="9" t="str">
        <f aca="false">IF(C46="","","CV"&amp;TEXT(ROW()-5,"000"))</f>
        <v/>
      </c>
      <c r="B46" s="10"/>
      <c r="C46" s="11"/>
      <c r="D46" s="12"/>
      <c r="E46" s="12"/>
      <c r="F46" s="12"/>
      <c r="G46" s="12"/>
      <c r="H46" s="12"/>
      <c r="I46" s="12"/>
      <c r="J46" s="10"/>
      <c r="K46" s="12"/>
      <c r="L46" s="10"/>
      <c r="M46" s="12"/>
      <c r="N46" s="9" t="str">
        <f aca="false">IF(C46="","",IF(AND(H46="Có",I46="Có"),"1. Làm ngay",IF(H46="Có","2. Lên lịch",IF(I46="Có","3. Giao lại","4. Để sau"))))</f>
        <v/>
      </c>
      <c r="O46" s="9" t="str">
        <f aca="true">IF(OR(C46="",J46="",K46="Hoàn thành"),"",J46-TODAY())</f>
        <v/>
      </c>
      <c r="P46" s="9" t="str">
        <f aca="true">IF(C46="","",IF(K46="Hoàn thành",IF(OR(L46="",J46=""),"Xong (thiếu ngày)",IF(L46&lt;=J46,"Xong đúng hạn","Xong trễ")),IF(J46="","Chưa có hạn",IF(J46&lt;TODAY(),"Quá hạn",IF(J46=TODAY(),"Đến hạn hôm nay",IF(J46-TODAY()&lt;=3,"Sắp đến hạn","Trong hạn"))))))</f>
        <v/>
      </c>
      <c r="Q46" s="9" t="str">
        <f aca="false">IF(OR(C46="",J46=""),"",WEEKNUM(J46,21))</f>
        <v/>
      </c>
      <c r="R46" s="2"/>
      <c r="S46" s="9" t="str">
        <f aca="true">IF(AND(C46&lt;&gt;"",K46&lt;&gt;"Hoàn thành",J46&lt;&gt;"",J46&lt;=TODAY()),MAX(S$5:S45)+1,"")</f>
        <v/>
      </c>
      <c r="T46" s="9" t="str">
        <f aca="false">IF(AND(C46&lt;&gt;"",IF(K46="","Chưa làm",K46)="Chưa làm"),MAX(T$5:T45)+1,"")</f>
        <v/>
      </c>
      <c r="U46" s="9" t="str">
        <f aca="false">IF(AND(C46&lt;&gt;"",IF(K46="","Chưa làm",K46)="Đang làm"),MAX(U$5:U45)+1,"")</f>
        <v/>
      </c>
      <c r="V46" s="9" t="str">
        <f aca="false">IF(AND(C46&lt;&gt;"",IF(K46="","Chưa làm",K46)="Chờ duyệt"),MAX(V$5:V45)+1,"")</f>
        <v/>
      </c>
      <c r="W46" s="9" t="str">
        <f aca="false">IF(AND(C46&lt;&gt;"",IF(K46="","Chưa làm",K46)="Hoàn thành"),MAX(W$5:W45)+1,"")</f>
        <v/>
      </c>
      <c r="X46" s="9" t="str">
        <f aca="false">IF(AND(C46&lt;&gt;"",K46&lt;&gt;"Hoàn thành",N46="1. Làm ngay"),MAX(X$5:X45)+1,"")</f>
        <v/>
      </c>
      <c r="Y46" s="9" t="str">
        <f aca="false">IF(AND(C46&lt;&gt;"",K46&lt;&gt;"Hoàn thành",N46="2. Lên lịch"),MAX(Y$5:Y45)+1,"")</f>
        <v/>
      </c>
      <c r="Z46" s="9" t="str">
        <f aca="false">IF(AND(C46&lt;&gt;"",K46&lt;&gt;"Hoàn thành",N46="3. Giao lại"),MAX(Z$5:Z45)+1,"")</f>
        <v/>
      </c>
      <c r="AA46" s="9" t="str">
        <f aca="false">IF(AND(C46&lt;&gt;"",K46&lt;&gt;"Hoàn thành",N46="4. Để sau"),MAX(AA$5:AA45)+1,"")</f>
        <v/>
      </c>
      <c r="AB46" s="9" t="str">
        <f aca="false">IF(AND(C46&lt;&gt;"",J46&lt;&gt;"",J46&gt;=TUAN!$C$3,J46&lt;=TUAN!$C$3+6),MAX(AB$5:AB45)+1,"")</f>
        <v/>
      </c>
    </row>
    <row r="47" customFormat="false" ht="15" hidden="false" customHeight="false" outlineLevel="0" collapsed="false">
      <c r="A47" s="9" t="str">
        <f aca="false">IF(C47="","","CV"&amp;TEXT(ROW()-5,"000"))</f>
        <v/>
      </c>
      <c r="B47" s="10"/>
      <c r="C47" s="11"/>
      <c r="D47" s="12"/>
      <c r="E47" s="12"/>
      <c r="F47" s="12"/>
      <c r="G47" s="12"/>
      <c r="H47" s="12"/>
      <c r="I47" s="12"/>
      <c r="J47" s="10"/>
      <c r="K47" s="12"/>
      <c r="L47" s="10"/>
      <c r="M47" s="12"/>
      <c r="N47" s="9" t="str">
        <f aca="false">IF(C47="","",IF(AND(H47="Có",I47="Có"),"1. Làm ngay",IF(H47="Có","2. Lên lịch",IF(I47="Có","3. Giao lại","4. Để sau"))))</f>
        <v/>
      </c>
      <c r="O47" s="9" t="str">
        <f aca="true">IF(OR(C47="",J47="",K47="Hoàn thành"),"",J47-TODAY())</f>
        <v/>
      </c>
      <c r="P47" s="9" t="str">
        <f aca="true">IF(C47="","",IF(K47="Hoàn thành",IF(OR(L47="",J47=""),"Xong (thiếu ngày)",IF(L47&lt;=J47,"Xong đúng hạn","Xong trễ")),IF(J47="","Chưa có hạn",IF(J47&lt;TODAY(),"Quá hạn",IF(J47=TODAY(),"Đến hạn hôm nay",IF(J47-TODAY()&lt;=3,"Sắp đến hạn","Trong hạn"))))))</f>
        <v/>
      </c>
      <c r="Q47" s="9" t="str">
        <f aca="false">IF(OR(C47="",J47=""),"",WEEKNUM(J47,21))</f>
        <v/>
      </c>
      <c r="R47" s="2"/>
      <c r="S47" s="9" t="str">
        <f aca="true">IF(AND(C47&lt;&gt;"",K47&lt;&gt;"Hoàn thành",J47&lt;&gt;"",J47&lt;=TODAY()),MAX(S$5:S46)+1,"")</f>
        <v/>
      </c>
      <c r="T47" s="9" t="str">
        <f aca="false">IF(AND(C47&lt;&gt;"",IF(K47="","Chưa làm",K47)="Chưa làm"),MAX(T$5:T46)+1,"")</f>
        <v/>
      </c>
      <c r="U47" s="9" t="str">
        <f aca="false">IF(AND(C47&lt;&gt;"",IF(K47="","Chưa làm",K47)="Đang làm"),MAX(U$5:U46)+1,"")</f>
        <v/>
      </c>
      <c r="V47" s="9" t="str">
        <f aca="false">IF(AND(C47&lt;&gt;"",IF(K47="","Chưa làm",K47)="Chờ duyệt"),MAX(V$5:V46)+1,"")</f>
        <v/>
      </c>
      <c r="W47" s="9" t="str">
        <f aca="false">IF(AND(C47&lt;&gt;"",IF(K47="","Chưa làm",K47)="Hoàn thành"),MAX(W$5:W46)+1,"")</f>
        <v/>
      </c>
      <c r="X47" s="9" t="str">
        <f aca="false">IF(AND(C47&lt;&gt;"",K47&lt;&gt;"Hoàn thành",N47="1. Làm ngay"),MAX(X$5:X46)+1,"")</f>
        <v/>
      </c>
      <c r="Y47" s="9" t="str">
        <f aca="false">IF(AND(C47&lt;&gt;"",K47&lt;&gt;"Hoàn thành",N47="2. Lên lịch"),MAX(Y$5:Y46)+1,"")</f>
        <v/>
      </c>
      <c r="Z47" s="9" t="str">
        <f aca="false">IF(AND(C47&lt;&gt;"",K47&lt;&gt;"Hoàn thành",N47="3. Giao lại"),MAX(Z$5:Z46)+1,"")</f>
        <v/>
      </c>
      <c r="AA47" s="9" t="str">
        <f aca="false">IF(AND(C47&lt;&gt;"",K47&lt;&gt;"Hoàn thành",N47="4. Để sau"),MAX(AA$5:AA46)+1,"")</f>
        <v/>
      </c>
      <c r="AB47" s="9" t="str">
        <f aca="false">IF(AND(C47&lt;&gt;"",J47&lt;&gt;"",J47&gt;=TUAN!$C$3,J47&lt;=TUAN!$C$3+6),MAX(AB$5:AB46)+1,"")</f>
        <v/>
      </c>
    </row>
    <row r="48" customFormat="false" ht="15" hidden="false" customHeight="false" outlineLevel="0" collapsed="false">
      <c r="A48" s="9" t="str">
        <f aca="false">IF(C48="","","CV"&amp;TEXT(ROW()-5,"000"))</f>
        <v/>
      </c>
      <c r="B48" s="10"/>
      <c r="C48" s="11"/>
      <c r="D48" s="12"/>
      <c r="E48" s="12"/>
      <c r="F48" s="12"/>
      <c r="G48" s="12"/>
      <c r="H48" s="12"/>
      <c r="I48" s="12"/>
      <c r="J48" s="10"/>
      <c r="K48" s="12"/>
      <c r="L48" s="10"/>
      <c r="M48" s="12"/>
      <c r="N48" s="9" t="str">
        <f aca="false">IF(C48="","",IF(AND(H48="Có",I48="Có"),"1. Làm ngay",IF(H48="Có","2. Lên lịch",IF(I48="Có","3. Giao lại","4. Để sau"))))</f>
        <v/>
      </c>
      <c r="O48" s="9" t="str">
        <f aca="true">IF(OR(C48="",J48="",K48="Hoàn thành"),"",J48-TODAY())</f>
        <v/>
      </c>
      <c r="P48" s="9" t="str">
        <f aca="true">IF(C48="","",IF(K48="Hoàn thành",IF(OR(L48="",J48=""),"Xong (thiếu ngày)",IF(L48&lt;=J48,"Xong đúng hạn","Xong trễ")),IF(J48="","Chưa có hạn",IF(J48&lt;TODAY(),"Quá hạn",IF(J48=TODAY(),"Đến hạn hôm nay",IF(J48-TODAY()&lt;=3,"Sắp đến hạn","Trong hạn"))))))</f>
        <v/>
      </c>
      <c r="Q48" s="9" t="str">
        <f aca="false">IF(OR(C48="",J48=""),"",WEEKNUM(J48,21))</f>
        <v/>
      </c>
      <c r="R48" s="2"/>
      <c r="S48" s="9" t="str">
        <f aca="true">IF(AND(C48&lt;&gt;"",K48&lt;&gt;"Hoàn thành",J48&lt;&gt;"",J48&lt;=TODAY()),MAX(S$5:S47)+1,"")</f>
        <v/>
      </c>
      <c r="T48" s="9" t="str">
        <f aca="false">IF(AND(C48&lt;&gt;"",IF(K48="","Chưa làm",K48)="Chưa làm"),MAX(T$5:T47)+1,"")</f>
        <v/>
      </c>
      <c r="U48" s="9" t="str">
        <f aca="false">IF(AND(C48&lt;&gt;"",IF(K48="","Chưa làm",K48)="Đang làm"),MAX(U$5:U47)+1,"")</f>
        <v/>
      </c>
      <c r="V48" s="9" t="str">
        <f aca="false">IF(AND(C48&lt;&gt;"",IF(K48="","Chưa làm",K48)="Chờ duyệt"),MAX(V$5:V47)+1,"")</f>
        <v/>
      </c>
      <c r="W48" s="9" t="str">
        <f aca="false">IF(AND(C48&lt;&gt;"",IF(K48="","Chưa làm",K48)="Hoàn thành"),MAX(W$5:W47)+1,"")</f>
        <v/>
      </c>
      <c r="X48" s="9" t="str">
        <f aca="false">IF(AND(C48&lt;&gt;"",K48&lt;&gt;"Hoàn thành",N48="1. Làm ngay"),MAX(X$5:X47)+1,"")</f>
        <v/>
      </c>
      <c r="Y48" s="9" t="str">
        <f aca="false">IF(AND(C48&lt;&gt;"",K48&lt;&gt;"Hoàn thành",N48="2. Lên lịch"),MAX(Y$5:Y47)+1,"")</f>
        <v/>
      </c>
      <c r="Z48" s="9" t="str">
        <f aca="false">IF(AND(C48&lt;&gt;"",K48&lt;&gt;"Hoàn thành",N48="3. Giao lại"),MAX(Z$5:Z47)+1,"")</f>
        <v/>
      </c>
      <c r="AA48" s="9" t="str">
        <f aca="false">IF(AND(C48&lt;&gt;"",K48&lt;&gt;"Hoàn thành",N48="4. Để sau"),MAX(AA$5:AA47)+1,"")</f>
        <v/>
      </c>
      <c r="AB48" s="9" t="str">
        <f aca="false">IF(AND(C48&lt;&gt;"",J48&lt;&gt;"",J48&gt;=TUAN!$C$3,J48&lt;=TUAN!$C$3+6),MAX(AB$5:AB47)+1,"")</f>
        <v/>
      </c>
    </row>
    <row r="49" customFormat="false" ht="15" hidden="false" customHeight="false" outlineLevel="0" collapsed="false">
      <c r="A49" s="9" t="str">
        <f aca="false">IF(C49="","","CV"&amp;TEXT(ROW()-5,"000"))</f>
        <v/>
      </c>
      <c r="B49" s="10"/>
      <c r="C49" s="11"/>
      <c r="D49" s="12"/>
      <c r="E49" s="12"/>
      <c r="F49" s="12"/>
      <c r="G49" s="12"/>
      <c r="H49" s="12"/>
      <c r="I49" s="12"/>
      <c r="J49" s="10"/>
      <c r="K49" s="12"/>
      <c r="L49" s="10"/>
      <c r="M49" s="12"/>
      <c r="N49" s="9" t="str">
        <f aca="false">IF(C49="","",IF(AND(H49="Có",I49="Có"),"1. Làm ngay",IF(H49="Có","2. Lên lịch",IF(I49="Có","3. Giao lại","4. Để sau"))))</f>
        <v/>
      </c>
      <c r="O49" s="9" t="str">
        <f aca="true">IF(OR(C49="",J49="",K49="Hoàn thành"),"",J49-TODAY())</f>
        <v/>
      </c>
      <c r="P49" s="9" t="str">
        <f aca="true">IF(C49="","",IF(K49="Hoàn thành",IF(OR(L49="",J49=""),"Xong (thiếu ngày)",IF(L49&lt;=J49,"Xong đúng hạn","Xong trễ")),IF(J49="","Chưa có hạn",IF(J49&lt;TODAY(),"Quá hạn",IF(J49=TODAY(),"Đến hạn hôm nay",IF(J49-TODAY()&lt;=3,"Sắp đến hạn","Trong hạn"))))))</f>
        <v/>
      </c>
      <c r="Q49" s="9" t="str">
        <f aca="false">IF(OR(C49="",J49=""),"",WEEKNUM(J49,21))</f>
        <v/>
      </c>
      <c r="R49" s="2"/>
      <c r="S49" s="9" t="str">
        <f aca="true">IF(AND(C49&lt;&gt;"",K49&lt;&gt;"Hoàn thành",J49&lt;&gt;"",J49&lt;=TODAY()),MAX(S$5:S48)+1,"")</f>
        <v/>
      </c>
      <c r="T49" s="9" t="str">
        <f aca="false">IF(AND(C49&lt;&gt;"",IF(K49="","Chưa làm",K49)="Chưa làm"),MAX(T$5:T48)+1,"")</f>
        <v/>
      </c>
      <c r="U49" s="9" t="str">
        <f aca="false">IF(AND(C49&lt;&gt;"",IF(K49="","Chưa làm",K49)="Đang làm"),MAX(U$5:U48)+1,"")</f>
        <v/>
      </c>
      <c r="V49" s="9" t="str">
        <f aca="false">IF(AND(C49&lt;&gt;"",IF(K49="","Chưa làm",K49)="Chờ duyệt"),MAX(V$5:V48)+1,"")</f>
        <v/>
      </c>
      <c r="W49" s="9" t="str">
        <f aca="false">IF(AND(C49&lt;&gt;"",IF(K49="","Chưa làm",K49)="Hoàn thành"),MAX(W$5:W48)+1,"")</f>
        <v/>
      </c>
      <c r="X49" s="9" t="str">
        <f aca="false">IF(AND(C49&lt;&gt;"",K49&lt;&gt;"Hoàn thành",N49="1. Làm ngay"),MAX(X$5:X48)+1,"")</f>
        <v/>
      </c>
      <c r="Y49" s="9" t="str">
        <f aca="false">IF(AND(C49&lt;&gt;"",K49&lt;&gt;"Hoàn thành",N49="2. Lên lịch"),MAX(Y$5:Y48)+1,"")</f>
        <v/>
      </c>
      <c r="Z49" s="9" t="str">
        <f aca="false">IF(AND(C49&lt;&gt;"",K49&lt;&gt;"Hoàn thành",N49="3. Giao lại"),MAX(Z$5:Z48)+1,"")</f>
        <v/>
      </c>
      <c r="AA49" s="9" t="str">
        <f aca="false">IF(AND(C49&lt;&gt;"",K49&lt;&gt;"Hoàn thành",N49="4. Để sau"),MAX(AA$5:AA48)+1,"")</f>
        <v/>
      </c>
      <c r="AB49" s="9" t="str">
        <f aca="false">IF(AND(C49&lt;&gt;"",J49&lt;&gt;"",J49&gt;=TUAN!$C$3,J49&lt;=TUAN!$C$3+6),MAX(AB$5:AB48)+1,"")</f>
        <v/>
      </c>
    </row>
    <row r="50" customFormat="false" ht="15" hidden="false" customHeight="false" outlineLevel="0" collapsed="false">
      <c r="A50" s="9" t="str">
        <f aca="false">IF(C50="","","CV"&amp;TEXT(ROW()-5,"000"))</f>
        <v/>
      </c>
      <c r="B50" s="10"/>
      <c r="C50" s="11"/>
      <c r="D50" s="12"/>
      <c r="E50" s="12"/>
      <c r="F50" s="12"/>
      <c r="G50" s="12"/>
      <c r="H50" s="12"/>
      <c r="I50" s="12"/>
      <c r="J50" s="10"/>
      <c r="K50" s="12"/>
      <c r="L50" s="10"/>
      <c r="M50" s="12"/>
      <c r="N50" s="9" t="str">
        <f aca="false">IF(C50="","",IF(AND(H50="Có",I50="Có"),"1. Làm ngay",IF(H50="Có","2. Lên lịch",IF(I50="Có","3. Giao lại","4. Để sau"))))</f>
        <v/>
      </c>
      <c r="O50" s="9" t="str">
        <f aca="true">IF(OR(C50="",J50="",K50="Hoàn thành"),"",J50-TODAY())</f>
        <v/>
      </c>
      <c r="P50" s="9" t="str">
        <f aca="true">IF(C50="","",IF(K50="Hoàn thành",IF(OR(L50="",J50=""),"Xong (thiếu ngày)",IF(L50&lt;=J50,"Xong đúng hạn","Xong trễ")),IF(J50="","Chưa có hạn",IF(J50&lt;TODAY(),"Quá hạn",IF(J50=TODAY(),"Đến hạn hôm nay",IF(J50-TODAY()&lt;=3,"Sắp đến hạn","Trong hạn"))))))</f>
        <v/>
      </c>
      <c r="Q50" s="9" t="str">
        <f aca="false">IF(OR(C50="",J50=""),"",WEEKNUM(J50,21))</f>
        <v/>
      </c>
      <c r="R50" s="2"/>
      <c r="S50" s="9" t="str">
        <f aca="true">IF(AND(C50&lt;&gt;"",K50&lt;&gt;"Hoàn thành",J50&lt;&gt;"",J50&lt;=TODAY()),MAX(S$5:S49)+1,"")</f>
        <v/>
      </c>
      <c r="T50" s="9" t="str">
        <f aca="false">IF(AND(C50&lt;&gt;"",IF(K50="","Chưa làm",K50)="Chưa làm"),MAX(T$5:T49)+1,"")</f>
        <v/>
      </c>
      <c r="U50" s="9" t="str">
        <f aca="false">IF(AND(C50&lt;&gt;"",IF(K50="","Chưa làm",K50)="Đang làm"),MAX(U$5:U49)+1,"")</f>
        <v/>
      </c>
      <c r="V50" s="9" t="str">
        <f aca="false">IF(AND(C50&lt;&gt;"",IF(K50="","Chưa làm",K50)="Chờ duyệt"),MAX(V$5:V49)+1,"")</f>
        <v/>
      </c>
      <c r="W50" s="9" t="str">
        <f aca="false">IF(AND(C50&lt;&gt;"",IF(K50="","Chưa làm",K50)="Hoàn thành"),MAX(W$5:W49)+1,"")</f>
        <v/>
      </c>
      <c r="X50" s="9" t="str">
        <f aca="false">IF(AND(C50&lt;&gt;"",K50&lt;&gt;"Hoàn thành",N50="1. Làm ngay"),MAX(X$5:X49)+1,"")</f>
        <v/>
      </c>
      <c r="Y50" s="9" t="str">
        <f aca="false">IF(AND(C50&lt;&gt;"",K50&lt;&gt;"Hoàn thành",N50="2. Lên lịch"),MAX(Y$5:Y49)+1,"")</f>
        <v/>
      </c>
      <c r="Z50" s="9" t="str">
        <f aca="false">IF(AND(C50&lt;&gt;"",K50&lt;&gt;"Hoàn thành",N50="3. Giao lại"),MAX(Z$5:Z49)+1,"")</f>
        <v/>
      </c>
      <c r="AA50" s="9" t="str">
        <f aca="false">IF(AND(C50&lt;&gt;"",K50&lt;&gt;"Hoàn thành",N50="4. Để sau"),MAX(AA$5:AA49)+1,"")</f>
        <v/>
      </c>
      <c r="AB50" s="9" t="str">
        <f aca="false">IF(AND(C50&lt;&gt;"",J50&lt;&gt;"",J50&gt;=TUAN!$C$3,J50&lt;=TUAN!$C$3+6),MAX(AB$5:AB49)+1,"")</f>
        <v/>
      </c>
    </row>
    <row r="51" customFormat="false" ht="15" hidden="false" customHeight="false" outlineLevel="0" collapsed="false">
      <c r="A51" s="9" t="str">
        <f aca="false">IF(C51="","","CV"&amp;TEXT(ROW()-5,"000"))</f>
        <v/>
      </c>
      <c r="B51" s="10"/>
      <c r="C51" s="11"/>
      <c r="D51" s="12"/>
      <c r="E51" s="12"/>
      <c r="F51" s="12"/>
      <c r="G51" s="12"/>
      <c r="H51" s="12"/>
      <c r="I51" s="12"/>
      <c r="J51" s="10"/>
      <c r="K51" s="12"/>
      <c r="L51" s="10"/>
      <c r="M51" s="12"/>
      <c r="N51" s="9" t="str">
        <f aca="false">IF(C51="","",IF(AND(H51="Có",I51="Có"),"1. Làm ngay",IF(H51="Có","2. Lên lịch",IF(I51="Có","3. Giao lại","4. Để sau"))))</f>
        <v/>
      </c>
      <c r="O51" s="9" t="str">
        <f aca="true">IF(OR(C51="",J51="",K51="Hoàn thành"),"",J51-TODAY())</f>
        <v/>
      </c>
      <c r="P51" s="9" t="str">
        <f aca="true">IF(C51="","",IF(K51="Hoàn thành",IF(OR(L51="",J51=""),"Xong (thiếu ngày)",IF(L51&lt;=J51,"Xong đúng hạn","Xong trễ")),IF(J51="","Chưa có hạn",IF(J51&lt;TODAY(),"Quá hạn",IF(J51=TODAY(),"Đến hạn hôm nay",IF(J51-TODAY()&lt;=3,"Sắp đến hạn","Trong hạn"))))))</f>
        <v/>
      </c>
      <c r="Q51" s="9" t="str">
        <f aca="false">IF(OR(C51="",J51=""),"",WEEKNUM(J51,21))</f>
        <v/>
      </c>
      <c r="R51" s="2"/>
      <c r="S51" s="9" t="str">
        <f aca="true">IF(AND(C51&lt;&gt;"",K51&lt;&gt;"Hoàn thành",J51&lt;&gt;"",J51&lt;=TODAY()),MAX(S$5:S50)+1,"")</f>
        <v/>
      </c>
      <c r="T51" s="9" t="str">
        <f aca="false">IF(AND(C51&lt;&gt;"",IF(K51="","Chưa làm",K51)="Chưa làm"),MAX(T$5:T50)+1,"")</f>
        <v/>
      </c>
      <c r="U51" s="9" t="str">
        <f aca="false">IF(AND(C51&lt;&gt;"",IF(K51="","Chưa làm",K51)="Đang làm"),MAX(U$5:U50)+1,"")</f>
        <v/>
      </c>
      <c r="V51" s="9" t="str">
        <f aca="false">IF(AND(C51&lt;&gt;"",IF(K51="","Chưa làm",K51)="Chờ duyệt"),MAX(V$5:V50)+1,"")</f>
        <v/>
      </c>
      <c r="W51" s="9" t="str">
        <f aca="false">IF(AND(C51&lt;&gt;"",IF(K51="","Chưa làm",K51)="Hoàn thành"),MAX(W$5:W50)+1,"")</f>
        <v/>
      </c>
      <c r="X51" s="9" t="str">
        <f aca="false">IF(AND(C51&lt;&gt;"",K51&lt;&gt;"Hoàn thành",N51="1. Làm ngay"),MAX(X$5:X50)+1,"")</f>
        <v/>
      </c>
      <c r="Y51" s="9" t="str">
        <f aca="false">IF(AND(C51&lt;&gt;"",K51&lt;&gt;"Hoàn thành",N51="2. Lên lịch"),MAX(Y$5:Y50)+1,"")</f>
        <v/>
      </c>
      <c r="Z51" s="9" t="str">
        <f aca="false">IF(AND(C51&lt;&gt;"",K51&lt;&gt;"Hoàn thành",N51="3. Giao lại"),MAX(Z$5:Z50)+1,"")</f>
        <v/>
      </c>
      <c r="AA51" s="9" t="str">
        <f aca="false">IF(AND(C51&lt;&gt;"",K51&lt;&gt;"Hoàn thành",N51="4. Để sau"),MAX(AA$5:AA50)+1,"")</f>
        <v/>
      </c>
      <c r="AB51" s="9" t="str">
        <f aca="false">IF(AND(C51&lt;&gt;"",J51&lt;&gt;"",J51&gt;=TUAN!$C$3,J51&lt;=TUAN!$C$3+6),MAX(AB$5:AB50)+1,"")</f>
        <v/>
      </c>
    </row>
    <row r="52" customFormat="false" ht="15" hidden="false" customHeight="false" outlineLevel="0" collapsed="false">
      <c r="A52" s="9" t="str">
        <f aca="false">IF(C52="","","CV"&amp;TEXT(ROW()-5,"000"))</f>
        <v/>
      </c>
      <c r="B52" s="10"/>
      <c r="C52" s="11"/>
      <c r="D52" s="12"/>
      <c r="E52" s="12"/>
      <c r="F52" s="12"/>
      <c r="G52" s="12"/>
      <c r="H52" s="12"/>
      <c r="I52" s="12"/>
      <c r="J52" s="10"/>
      <c r="K52" s="12"/>
      <c r="L52" s="10"/>
      <c r="M52" s="12"/>
      <c r="N52" s="9" t="str">
        <f aca="false">IF(C52="","",IF(AND(H52="Có",I52="Có"),"1. Làm ngay",IF(H52="Có","2. Lên lịch",IF(I52="Có","3. Giao lại","4. Để sau"))))</f>
        <v/>
      </c>
      <c r="O52" s="9" t="str">
        <f aca="true">IF(OR(C52="",J52="",K52="Hoàn thành"),"",J52-TODAY())</f>
        <v/>
      </c>
      <c r="P52" s="9" t="str">
        <f aca="true">IF(C52="","",IF(K52="Hoàn thành",IF(OR(L52="",J52=""),"Xong (thiếu ngày)",IF(L52&lt;=J52,"Xong đúng hạn","Xong trễ")),IF(J52="","Chưa có hạn",IF(J52&lt;TODAY(),"Quá hạn",IF(J52=TODAY(),"Đến hạn hôm nay",IF(J52-TODAY()&lt;=3,"Sắp đến hạn","Trong hạn"))))))</f>
        <v/>
      </c>
      <c r="Q52" s="9" t="str">
        <f aca="false">IF(OR(C52="",J52=""),"",WEEKNUM(J52,21))</f>
        <v/>
      </c>
      <c r="R52" s="2"/>
      <c r="S52" s="9" t="str">
        <f aca="true">IF(AND(C52&lt;&gt;"",K52&lt;&gt;"Hoàn thành",J52&lt;&gt;"",J52&lt;=TODAY()),MAX(S$5:S51)+1,"")</f>
        <v/>
      </c>
      <c r="T52" s="9" t="str">
        <f aca="false">IF(AND(C52&lt;&gt;"",IF(K52="","Chưa làm",K52)="Chưa làm"),MAX(T$5:T51)+1,"")</f>
        <v/>
      </c>
      <c r="U52" s="9" t="str">
        <f aca="false">IF(AND(C52&lt;&gt;"",IF(K52="","Chưa làm",K52)="Đang làm"),MAX(U$5:U51)+1,"")</f>
        <v/>
      </c>
      <c r="V52" s="9" t="str">
        <f aca="false">IF(AND(C52&lt;&gt;"",IF(K52="","Chưa làm",K52)="Chờ duyệt"),MAX(V$5:V51)+1,"")</f>
        <v/>
      </c>
      <c r="W52" s="9" t="str">
        <f aca="false">IF(AND(C52&lt;&gt;"",IF(K52="","Chưa làm",K52)="Hoàn thành"),MAX(W$5:W51)+1,"")</f>
        <v/>
      </c>
      <c r="X52" s="9" t="str">
        <f aca="false">IF(AND(C52&lt;&gt;"",K52&lt;&gt;"Hoàn thành",N52="1. Làm ngay"),MAX(X$5:X51)+1,"")</f>
        <v/>
      </c>
      <c r="Y52" s="9" t="str">
        <f aca="false">IF(AND(C52&lt;&gt;"",K52&lt;&gt;"Hoàn thành",N52="2. Lên lịch"),MAX(Y$5:Y51)+1,"")</f>
        <v/>
      </c>
      <c r="Z52" s="9" t="str">
        <f aca="false">IF(AND(C52&lt;&gt;"",K52&lt;&gt;"Hoàn thành",N52="3. Giao lại"),MAX(Z$5:Z51)+1,"")</f>
        <v/>
      </c>
      <c r="AA52" s="9" t="str">
        <f aca="false">IF(AND(C52&lt;&gt;"",K52&lt;&gt;"Hoàn thành",N52="4. Để sau"),MAX(AA$5:AA51)+1,"")</f>
        <v/>
      </c>
      <c r="AB52" s="9" t="str">
        <f aca="false">IF(AND(C52&lt;&gt;"",J52&lt;&gt;"",J52&gt;=TUAN!$C$3,J52&lt;=TUAN!$C$3+6),MAX(AB$5:AB51)+1,"")</f>
        <v/>
      </c>
    </row>
    <row r="53" customFormat="false" ht="15" hidden="false" customHeight="false" outlineLevel="0" collapsed="false">
      <c r="A53" s="9" t="str">
        <f aca="false">IF(C53="","","CV"&amp;TEXT(ROW()-5,"000"))</f>
        <v/>
      </c>
      <c r="B53" s="10"/>
      <c r="C53" s="11"/>
      <c r="D53" s="12"/>
      <c r="E53" s="12"/>
      <c r="F53" s="12"/>
      <c r="G53" s="12"/>
      <c r="H53" s="12"/>
      <c r="I53" s="12"/>
      <c r="J53" s="10"/>
      <c r="K53" s="12"/>
      <c r="L53" s="10"/>
      <c r="M53" s="12"/>
      <c r="N53" s="9" t="str">
        <f aca="false">IF(C53="","",IF(AND(H53="Có",I53="Có"),"1. Làm ngay",IF(H53="Có","2. Lên lịch",IF(I53="Có","3. Giao lại","4. Để sau"))))</f>
        <v/>
      </c>
      <c r="O53" s="9" t="str">
        <f aca="true">IF(OR(C53="",J53="",K53="Hoàn thành"),"",J53-TODAY())</f>
        <v/>
      </c>
      <c r="P53" s="9" t="str">
        <f aca="true">IF(C53="","",IF(K53="Hoàn thành",IF(OR(L53="",J53=""),"Xong (thiếu ngày)",IF(L53&lt;=J53,"Xong đúng hạn","Xong trễ")),IF(J53="","Chưa có hạn",IF(J53&lt;TODAY(),"Quá hạn",IF(J53=TODAY(),"Đến hạn hôm nay",IF(J53-TODAY()&lt;=3,"Sắp đến hạn","Trong hạn"))))))</f>
        <v/>
      </c>
      <c r="Q53" s="9" t="str">
        <f aca="false">IF(OR(C53="",J53=""),"",WEEKNUM(J53,21))</f>
        <v/>
      </c>
      <c r="R53" s="2"/>
      <c r="S53" s="9" t="str">
        <f aca="true">IF(AND(C53&lt;&gt;"",K53&lt;&gt;"Hoàn thành",J53&lt;&gt;"",J53&lt;=TODAY()),MAX(S$5:S52)+1,"")</f>
        <v/>
      </c>
      <c r="T53" s="9" t="str">
        <f aca="false">IF(AND(C53&lt;&gt;"",IF(K53="","Chưa làm",K53)="Chưa làm"),MAX(T$5:T52)+1,"")</f>
        <v/>
      </c>
      <c r="U53" s="9" t="str">
        <f aca="false">IF(AND(C53&lt;&gt;"",IF(K53="","Chưa làm",K53)="Đang làm"),MAX(U$5:U52)+1,"")</f>
        <v/>
      </c>
      <c r="V53" s="9" t="str">
        <f aca="false">IF(AND(C53&lt;&gt;"",IF(K53="","Chưa làm",K53)="Chờ duyệt"),MAX(V$5:V52)+1,"")</f>
        <v/>
      </c>
      <c r="W53" s="9" t="str">
        <f aca="false">IF(AND(C53&lt;&gt;"",IF(K53="","Chưa làm",K53)="Hoàn thành"),MAX(W$5:W52)+1,"")</f>
        <v/>
      </c>
      <c r="X53" s="9" t="str">
        <f aca="false">IF(AND(C53&lt;&gt;"",K53&lt;&gt;"Hoàn thành",N53="1. Làm ngay"),MAX(X$5:X52)+1,"")</f>
        <v/>
      </c>
      <c r="Y53" s="9" t="str">
        <f aca="false">IF(AND(C53&lt;&gt;"",K53&lt;&gt;"Hoàn thành",N53="2. Lên lịch"),MAX(Y$5:Y52)+1,"")</f>
        <v/>
      </c>
      <c r="Z53" s="9" t="str">
        <f aca="false">IF(AND(C53&lt;&gt;"",K53&lt;&gt;"Hoàn thành",N53="3. Giao lại"),MAX(Z$5:Z52)+1,"")</f>
        <v/>
      </c>
      <c r="AA53" s="9" t="str">
        <f aca="false">IF(AND(C53&lt;&gt;"",K53&lt;&gt;"Hoàn thành",N53="4. Để sau"),MAX(AA$5:AA52)+1,"")</f>
        <v/>
      </c>
      <c r="AB53" s="9" t="str">
        <f aca="false">IF(AND(C53&lt;&gt;"",J53&lt;&gt;"",J53&gt;=TUAN!$C$3,J53&lt;=TUAN!$C$3+6),MAX(AB$5:AB52)+1,"")</f>
        <v/>
      </c>
    </row>
    <row r="54" customFormat="false" ht="15" hidden="false" customHeight="false" outlineLevel="0" collapsed="false">
      <c r="A54" s="9" t="str">
        <f aca="false">IF(C54="","","CV"&amp;TEXT(ROW()-5,"000"))</f>
        <v/>
      </c>
      <c r="B54" s="10"/>
      <c r="C54" s="11"/>
      <c r="D54" s="12"/>
      <c r="E54" s="12"/>
      <c r="F54" s="12"/>
      <c r="G54" s="12"/>
      <c r="H54" s="12"/>
      <c r="I54" s="12"/>
      <c r="J54" s="10"/>
      <c r="K54" s="12"/>
      <c r="L54" s="10"/>
      <c r="M54" s="12"/>
      <c r="N54" s="9" t="str">
        <f aca="false">IF(C54="","",IF(AND(H54="Có",I54="Có"),"1. Làm ngay",IF(H54="Có","2. Lên lịch",IF(I54="Có","3. Giao lại","4. Để sau"))))</f>
        <v/>
      </c>
      <c r="O54" s="9" t="str">
        <f aca="true">IF(OR(C54="",J54="",K54="Hoàn thành"),"",J54-TODAY())</f>
        <v/>
      </c>
      <c r="P54" s="9" t="str">
        <f aca="true">IF(C54="","",IF(K54="Hoàn thành",IF(OR(L54="",J54=""),"Xong (thiếu ngày)",IF(L54&lt;=J54,"Xong đúng hạn","Xong trễ")),IF(J54="","Chưa có hạn",IF(J54&lt;TODAY(),"Quá hạn",IF(J54=TODAY(),"Đến hạn hôm nay",IF(J54-TODAY()&lt;=3,"Sắp đến hạn","Trong hạn"))))))</f>
        <v/>
      </c>
      <c r="Q54" s="9" t="str">
        <f aca="false">IF(OR(C54="",J54=""),"",WEEKNUM(J54,21))</f>
        <v/>
      </c>
      <c r="R54" s="2"/>
      <c r="S54" s="9" t="str">
        <f aca="true">IF(AND(C54&lt;&gt;"",K54&lt;&gt;"Hoàn thành",J54&lt;&gt;"",J54&lt;=TODAY()),MAX(S$5:S53)+1,"")</f>
        <v/>
      </c>
      <c r="T54" s="9" t="str">
        <f aca="false">IF(AND(C54&lt;&gt;"",IF(K54="","Chưa làm",K54)="Chưa làm"),MAX(T$5:T53)+1,"")</f>
        <v/>
      </c>
      <c r="U54" s="9" t="str">
        <f aca="false">IF(AND(C54&lt;&gt;"",IF(K54="","Chưa làm",K54)="Đang làm"),MAX(U$5:U53)+1,"")</f>
        <v/>
      </c>
      <c r="V54" s="9" t="str">
        <f aca="false">IF(AND(C54&lt;&gt;"",IF(K54="","Chưa làm",K54)="Chờ duyệt"),MAX(V$5:V53)+1,"")</f>
        <v/>
      </c>
      <c r="W54" s="9" t="str">
        <f aca="false">IF(AND(C54&lt;&gt;"",IF(K54="","Chưa làm",K54)="Hoàn thành"),MAX(W$5:W53)+1,"")</f>
        <v/>
      </c>
      <c r="X54" s="9" t="str">
        <f aca="false">IF(AND(C54&lt;&gt;"",K54&lt;&gt;"Hoàn thành",N54="1. Làm ngay"),MAX(X$5:X53)+1,"")</f>
        <v/>
      </c>
      <c r="Y54" s="9" t="str">
        <f aca="false">IF(AND(C54&lt;&gt;"",K54&lt;&gt;"Hoàn thành",N54="2. Lên lịch"),MAX(Y$5:Y53)+1,"")</f>
        <v/>
      </c>
      <c r="Z54" s="9" t="str">
        <f aca="false">IF(AND(C54&lt;&gt;"",K54&lt;&gt;"Hoàn thành",N54="3. Giao lại"),MAX(Z$5:Z53)+1,"")</f>
        <v/>
      </c>
      <c r="AA54" s="9" t="str">
        <f aca="false">IF(AND(C54&lt;&gt;"",K54&lt;&gt;"Hoàn thành",N54="4. Để sau"),MAX(AA$5:AA53)+1,"")</f>
        <v/>
      </c>
      <c r="AB54" s="9" t="str">
        <f aca="false">IF(AND(C54&lt;&gt;"",J54&lt;&gt;"",J54&gt;=TUAN!$C$3,J54&lt;=TUAN!$C$3+6),MAX(AB$5:AB53)+1,"")</f>
        <v/>
      </c>
    </row>
    <row r="55" customFormat="false" ht="15" hidden="false" customHeight="false" outlineLevel="0" collapsed="false">
      <c r="A55" s="9" t="str">
        <f aca="false">IF(C55="","","CV"&amp;TEXT(ROW()-5,"000"))</f>
        <v/>
      </c>
      <c r="B55" s="10"/>
      <c r="C55" s="11"/>
      <c r="D55" s="12"/>
      <c r="E55" s="12"/>
      <c r="F55" s="12"/>
      <c r="G55" s="12"/>
      <c r="H55" s="12"/>
      <c r="I55" s="12"/>
      <c r="J55" s="10"/>
      <c r="K55" s="12"/>
      <c r="L55" s="10"/>
      <c r="M55" s="12"/>
      <c r="N55" s="9" t="str">
        <f aca="false">IF(C55="","",IF(AND(H55="Có",I55="Có"),"1. Làm ngay",IF(H55="Có","2. Lên lịch",IF(I55="Có","3. Giao lại","4. Để sau"))))</f>
        <v/>
      </c>
      <c r="O55" s="9" t="str">
        <f aca="true">IF(OR(C55="",J55="",K55="Hoàn thành"),"",J55-TODAY())</f>
        <v/>
      </c>
      <c r="P55" s="9" t="str">
        <f aca="true">IF(C55="","",IF(K55="Hoàn thành",IF(OR(L55="",J55=""),"Xong (thiếu ngày)",IF(L55&lt;=J55,"Xong đúng hạn","Xong trễ")),IF(J55="","Chưa có hạn",IF(J55&lt;TODAY(),"Quá hạn",IF(J55=TODAY(),"Đến hạn hôm nay",IF(J55-TODAY()&lt;=3,"Sắp đến hạn","Trong hạn"))))))</f>
        <v/>
      </c>
      <c r="Q55" s="9" t="str">
        <f aca="false">IF(OR(C55="",J55=""),"",WEEKNUM(J55,21))</f>
        <v/>
      </c>
      <c r="R55" s="2"/>
      <c r="S55" s="9" t="str">
        <f aca="true">IF(AND(C55&lt;&gt;"",K55&lt;&gt;"Hoàn thành",J55&lt;&gt;"",J55&lt;=TODAY()),MAX(S$5:S54)+1,"")</f>
        <v/>
      </c>
      <c r="T55" s="9" t="str">
        <f aca="false">IF(AND(C55&lt;&gt;"",IF(K55="","Chưa làm",K55)="Chưa làm"),MAX(T$5:T54)+1,"")</f>
        <v/>
      </c>
      <c r="U55" s="9" t="str">
        <f aca="false">IF(AND(C55&lt;&gt;"",IF(K55="","Chưa làm",K55)="Đang làm"),MAX(U$5:U54)+1,"")</f>
        <v/>
      </c>
      <c r="V55" s="9" t="str">
        <f aca="false">IF(AND(C55&lt;&gt;"",IF(K55="","Chưa làm",K55)="Chờ duyệt"),MAX(V$5:V54)+1,"")</f>
        <v/>
      </c>
      <c r="W55" s="9" t="str">
        <f aca="false">IF(AND(C55&lt;&gt;"",IF(K55="","Chưa làm",K55)="Hoàn thành"),MAX(W$5:W54)+1,"")</f>
        <v/>
      </c>
      <c r="X55" s="9" t="str">
        <f aca="false">IF(AND(C55&lt;&gt;"",K55&lt;&gt;"Hoàn thành",N55="1. Làm ngay"),MAX(X$5:X54)+1,"")</f>
        <v/>
      </c>
      <c r="Y55" s="9" t="str">
        <f aca="false">IF(AND(C55&lt;&gt;"",K55&lt;&gt;"Hoàn thành",N55="2. Lên lịch"),MAX(Y$5:Y54)+1,"")</f>
        <v/>
      </c>
      <c r="Z55" s="9" t="str">
        <f aca="false">IF(AND(C55&lt;&gt;"",K55&lt;&gt;"Hoàn thành",N55="3. Giao lại"),MAX(Z$5:Z54)+1,"")</f>
        <v/>
      </c>
      <c r="AA55" s="9" t="str">
        <f aca="false">IF(AND(C55&lt;&gt;"",K55&lt;&gt;"Hoàn thành",N55="4. Để sau"),MAX(AA$5:AA54)+1,"")</f>
        <v/>
      </c>
      <c r="AB55" s="9" t="str">
        <f aca="false">IF(AND(C55&lt;&gt;"",J55&lt;&gt;"",J55&gt;=TUAN!$C$3,J55&lt;=TUAN!$C$3+6),MAX(AB$5:AB54)+1,"")</f>
        <v/>
      </c>
    </row>
    <row r="56" customFormat="false" ht="15" hidden="false" customHeight="false" outlineLevel="0" collapsed="false">
      <c r="A56" s="9" t="str">
        <f aca="false">IF(C56="","","CV"&amp;TEXT(ROW()-5,"000"))</f>
        <v/>
      </c>
      <c r="B56" s="10"/>
      <c r="C56" s="11"/>
      <c r="D56" s="12"/>
      <c r="E56" s="12"/>
      <c r="F56" s="12"/>
      <c r="G56" s="12"/>
      <c r="H56" s="12"/>
      <c r="I56" s="12"/>
      <c r="J56" s="10"/>
      <c r="K56" s="12"/>
      <c r="L56" s="10"/>
      <c r="M56" s="12"/>
      <c r="N56" s="9" t="str">
        <f aca="false">IF(C56="","",IF(AND(H56="Có",I56="Có"),"1. Làm ngay",IF(H56="Có","2. Lên lịch",IF(I56="Có","3. Giao lại","4. Để sau"))))</f>
        <v/>
      </c>
      <c r="O56" s="9" t="str">
        <f aca="true">IF(OR(C56="",J56="",K56="Hoàn thành"),"",J56-TODAY())</f>
        <v/>
      </c>
      <c r="P56" s="9" t="str">
        <f aca="true">IF(C56="","",IF(K56="Hoàn thành",IF(OR(L56="",J56=""),"Xong (thiếu ngày)",IF(L56&lt;=J56,"Xong đúng hạn","Xong trễ")),IF(J56="","Chưa có hạn",IF(J56&lt;TODAY(),"Quá hạn",IF(J56=TODAY(),"Đến hạn hôm nay",IF(J56-TODAY()&lt;=3,"Sắp đến hạn","Trong hạn"))))))</f>
        <v/>
      </c>
      <c r="Q56" s="9" t="str">
        <f aca="false">IF(OR(C56="",J56=""),"",WEEKNUM(J56,21))</f>
        <v/>
      </c>
      <c r="R56" s="2"/>
      <c r="S56" s="9" t="str">
        <f aca="true">IF(AND(C56&lt;&gt;"",K56&lt;&gt;"Hoàn thành",J56&lt;&gt;"",J56&lt;=TODAY()),MAX(S$5:S55)+1,"")</f>
        <v/>
      </c>
      <c r="T56" s="9" t="str">
        <f aca="false">IF(AND(C56&lt;&gt;"",IF(K56="","Chưa làm",K56)="Chưa làm"),MAX(T$5:T55)+1,"")</f>
        <v/>
      </c>
      <c r="U56" s="9" t="str">
        <f aca="false">IF(AND(C56&lt;&gt;"",IF(K56="","Chưa làm",K56)="Đang làm"),MAX(U$5:U55)+1,"")</f>
        <v/>
      </c>
      <c r="V56" s="9" t="str">
        <f aca="false">IF(AND(C56&lt;&gt;"",IF(K56="","Chưa làm",K56)="Chờ duyệt"),MAX(V$5:V55)+1,"")</f>
        <v/>
      </c>
      <c r="W56" s="9" t="str">
        <f aca="false">IF(AND(C56&lt;&gt;"",IF(K56="","Chưa làm",K56)="Hoàn thành"),MAX(W$5:W55)+1,"")</f>
        <v/>
      </c>
      <c r="X56" s="9" t="str">
        <f aca="false">IF(AND(C56&lt;&gt;"",K56&lt;&gt;"Hoàn thành",N56="1. Làm ngay"),MAX(X$5:X55)+1,"")</f>
        <v/>
      </c>
      <c r="Y56" s="9" t="str">
        <f aca="false">IF(AND(C56&lt;&gt;"",K56&lt;&gt;"Hoàn thành",N56="2. Lên lịch"),MAX(Y$5:Y55)+1,"")</f>
        <v/>
      </c>
      <c r="Z56" s="9" t="str">
        <f aca="false">IF(AND(C56&lt;&gt;"",K56&lt;&gt;"Hoàn thành",N56="3. Giao lại"),MAX(Z$5:Z55)+1,"")</f>
        <v/>
      </c>
      <c r="AA56" s="9" t="str">
        <f aca="false">IF(AND(C56&lt;&gt;"",K56&lt;&gt;"Hoàn thành",N56="4. Để sau"),MAX(AA$5:AA55)+1,"")</f>
        <v/>
      </c>
      <c r="AB56" s="9" t="str">
        <f aca="false">IF(AND(C56&lt;&gt;"",J56&lt;&gt;"",J56&gt;=TUAN!$C$3,J56&lt;=TUAN!$C$3+6),MAX(AB$5:AB55)+1,"")</f>
        <v/>
      </c>
    </row>
    <row r="57" customFormat="false" ht="15" hidden="false" customHeight="false" outlineLevel="0" collapsed="false">
      <c r="A57" s="9" t="str">
        <f aca="false">IF(C57="","","CV"&amp;TEXT(ROW()-5,"000"))</f>
        <v/>
      </c>
      <c r="B57" s="10"/>
      <c r="C57" s="11"/>
      <c r="D57" s="12"/>
      <c r="E57" s="12"/>
      <c r="F57" s="12"/>
      <c r="G57" s="12"/>
      <c r="H57" s="12"/>
      <c r="I57" s="12"/>
      <c r="J57" s="10"/>
      <c r="K57" s="12"/>
      <c r="L57" s="10"/>
      <c r="M57" s="12"/>
      <c r="N57" s="9" t="str">
        <f aca="false">IF(C57="","",IF(AND(H57="Có",I57="Có"),"1. Làm ngay",IF(H57="Có","2. Lên lịch",IF(I57="Có","3. Giao lại","4. Để sau"))))</f>
        <v/>
      </c>
      <c r="O57" s="9" t="str">
        <f aca="true">IF(OR(C57="",J57="",K57="Hoàn thành"),"",J57-TODAY())</f>
        <v/>
      </c>
      <c r="P57" s="9" t="str">
        <f aca="true">IF(C57="","",IF(K57="Hoàn thành",IF(OR(L57="",J57=""),"Xong (thiếu ngày)",IF(L57&lt;=J57,"Xong đúng hạn","Xong trễ")),IF(J57="","Chưa có hạn",IF(J57&lt;TODAY(),"Quá hạn",IF(J57=TODAY(),"Đến hạn hôm nay",IF(J57-TODAY()&lt;=3,"Sắp đến hạn","Trong hạn"))))))</f>
        <v/>
      </c>
      <c r="Q57" s="9" t="str">
        <f aca="false">IF(OR(C57="",J57=""),"",WEEKNUM(J57,21))</f>
        <v/>
      </c>
      <c r="R57" s="2"/>
      <c r="S57" s="9" t="str">
        <f aca="true">IF(AND(C57&lt;&gt;"",K57&lt;&gt;"Hoàn thành",J57&lt;&gt;"",J57&lt;=TODAY()),MAX(S$5:S56)+1,"")</f>
        <v/>
      </c>
      <c r="T57" s="9" t="str">
        <f aca="false">IF(AND(C57&lt;&gt;"",IF(K57="","Chưa làm",K57)="Chưa làm"),MAX(T$5:T56)+1,"")</f>
        <v/>
      </c>
      <c r="U57" s="9" t="str">
        <f aca="false">IF(AND(C57&lt;&gt;"",IF(K57="","Chưa làm",K57)="Đang làm"),MAX(U$5:U56)+1,"")</f>
        <v/>
      </c>
      <c r="V57" s="9" t="str">
        <f aca="false">IF(AND(C57&lt;&gt;"",IF(K57="","Chưa làm",K57)="Chờ duyệt"),MAX(V$5:V56)+1,"")</f>
        <v/>
      </c>
      <c r="W57" s="9" t="str">
        <f aca="false">IF(AND(C57&lt;&gt;"",IF(K57="","Chưa làm",K57)="Hoàn thành"),MAX(W$5:W56)+1,"")</f>
        <v/>
      </c>
      <c r="X57" s="9" t="str">
        <f aca="false">IF(AND(C57&lt;&gt;"",K57&lt;&gt;"Hoàn thành",N57="1. Làm ngay"),MAX(X$5:X56)+1,"")</f>
        <v/>
      </c>
      <c r="Y57" s="9" t="str">
        <f aca="false">IF(AND(C57&lt;&gt;"",K57&lt;&gt;"Hoàn thành",N57="2. Lên lịch"),MAX(Y$5:Y56)+1,"")</f>
        <v/>
      </c>
      <c r="Z57" s="9" t="str">
        <f aca="false">IF(AND(C57&lt;&gt;"",K57&lt;&gt;"Hoàn thành",N57="3. Giao lại"),MAX(Z$5:Z56)+1,"")</f>
        <v/>
      </c>
      <c r="AA57" s="9" t="str">
        <f aca="false">IF(AND(C57&lt;&gt;"",K57&lt;&gt;"Hoàn thành",N57="4. Để sau"),MAX(AA$5:AA56)+1,"")</f>
        <v/>
      </c>
      <c r="AB57" s="9" t="str">
        <f aca="false">IF(AND(C57&lt;&gt;"",J57&lt;&gt;"",J57&gt;=TUAN!$C$3,J57&lt;=TUAN!$C$3+6),MAX(AB$5:AB56)+1,"")</f>
        <v/>
      </c>
    </row>
    <row r="58" customFormat="false" ht="15" hidden="false" customHeight="false" outlineLevel="0" collapsed="false">
      <c r="A58" s="9" t="str">
        <f aca="false">IF(C58="","","CV"&amp;TEXT(ROW()-5,"000"))</f>
        <v/>
      </c>
      <c r="B58" s="10"/>
      <c r="C58" s="11"/>
      <c r="D58" s="12"/>
      <c r="E58" s="12"/>
      <c r="F58" s="12"/>
      <c r="G58" s="12"/>
      <c r="H58" s="12"/>
      <c r="I58" s="12"/>
      <c r="J58" s="10"/>
      <c r="K58" s="12"/>
      <c r="L58" s="10"/>
      <c r="M58" s="12"/>
      <c r="N58" s="9" t="str">
        <f aca="false">IF(C58="","",IF(AND(H58="Có",I58="Có"),"1. Làm ngay",IF(H58="Có","2. Lên lịch",IF(I58="Có","3. Giao lại","4. Để sau"))))</f>
        <v/>
      </c>
      <c r="O58" s="9" t="str">
        <f aca="true">IF(OR(C58="",J58="",K58="Hoàn thành"),"",J58-TODAY())</f>
        <v/>
      </c>
      <c r="P58" s="9" t="str">
        <f aca="true">IF(C58="","",IF(K58="Hoàn thành",IF(OR(L58="",J58=""),"Xong (thiếu ngày)",IF(L58&lt;=J58,"Xong đúng hạn","Xong trễ")),IF(J58="","Chưa có hạn",IF(J58&lt;TODAY(),"Quá hạn",IF(J58=TODAY(),"Đến hạn hôm nay",IF(J58-TODAY()&lt;=3,"Sắp đến hạn","Trong hạn"))))))</f>
        <v/>
      </c>
      <c r="Q58" s="9" t="str">
        <f aca="false">IF(OR(C58="",J58=""),"",WEEKNUM(J58,21))</f>
        <v/>
      </c>
      <c r="R58" s="2"/>
      <c r="S58" s="9" t="str">
        <f aca="true">IF(AND(C58&lt;&gt;"",K58&lt;&gt;"Hoàn thành",J58&lt;&gt;"",J58&lt;=TODAY()),MAX(S$5:S57)+1,"")</f>
        <v/>
      </c>
      <c r="T58" s="9" t="str">
        <f aca="false">IF(AND(C58&lt;&gt;"",IF(K58="","Chưa làm",K58)="Chưa làm"),MAX(T$5:T57)+1,"")</f>
        <v/>
      </c>
      <c r="U58" s="9" t="str">
        <f aca="false">IF(AND(C58&lt;&gt;"",IF(K58="","Chưa làm",K58)="Đang làm"),MAX(U$5:U57)+1,"")</f>
        <v/>
      </c>
      <c r="V58" s="9" t="str">
        <f aca="false">IF(AND(C58&lt;&gt;"",IF(K58="","Chưa làm",K58)="Chờ duyệt"),MAX(V$5:V57)+1,"")</f>
        <v/>
      </c>
      <c r="W58" s="9" t="str">
        <f aca="false">IF(AND(C58&lt;&gt;"",IF(K58="","Chưa làm",K58)="Hoàn thành"),MAX(W$5:W57)+1,"")</f>
        <v/>
      </c>
      <c r="X58" s="9" t="str">
        <f aca="false">IF(AND(C58&lt;&gt;"",K58&lt;&gt;"Hoàn thành",N58="1. Làm ngay"),MAX(X$5:X57)+1,"")</f>
        <v/>
      </c>
      <c r="Y58" s="9" t="str">
        <f aca="false">IF(AND(C58&lt;&gt;"",K58&lt;&gt;"Hoàn thành",N58="2. Lên lịch"),MAX(Y$5:Y57)+1,"")</f>
        <v/>
      </c>
      <c r="Z58" s="9" t="str">
        <f aca="false">IF(AND(C58&lt;&gt;"",K58&lt;&gt;"Hoàn thành",N58="3. Giao lại"),MAX(Z$5:Z57)+1,"")</f>
        <v/>
      </c>
      <c r="AA58" s="9" t="str">
        <f aca="false">IF(AND(C58&lt;&gt;"",K58&lt;&gt;"Hoàn thành",N58="4. Để sau"),MAX(AA$5:AA57)+1,"")</f>
        <v/>
      </c>
      <c r="AB58" s="9" t="str">
        <f aca="false">IF(AND(C58&lt;&gt;"",J58&lt;&gt;"",J58&gt;=TUAN!$C$3,J58&lt;=TUAN!$C$3+6),MAX(AB$5:AB57)+1,"")</f>
        <v/>
      </c>
    </row>
    <row r="59" customFormat="false" ht="15" hidden="false" customHeight="false" outlineLevel="0" collapsed="false">
      <c r="A59" s="9" t="str">
        <f aca="false">IF(C59="","","CV"&amp;TEXT(ROW()-5,"000"))</f>
        <v/>
      </c>
      <c r="B59" s="10"/>
      <c r="C59" s="11"/>
      <c r="D59" s="12"/>
      <c r="E59" s="12"/>
      <c r="F59" s="12"/>
      <c r="G59" s="12"/>
      <c r="H59" s="12"/>
      <c r="I59" s="12"/>
      <c r="J59" s="10"/>
      <c r="K59" s="12"/>
      <c r="L59" s="10"/>
      <c r="M59" s="12"/>
      <c r="N59" s="9" t="str">
        <f aca="false">IF(C59="","",IF(AND(H59="Có",I59="Có"),"1. Làm ngay",IF(H59="Có","2. Lên lịch",IF(I59="Có","3. Giao lại","4. Để sau"))))</f>
        <v/>
      </c>
      <c r="O59" s="9" t="str">
        <f aca="true">IF(OR(C59="",J59="",K59="Hoàn thành"),"",J59-TODAY())</f>
        <v/>
      </c>
      <c r="P59" s="9" t="str">
        <f aca="true">IF(C59="","",IF(K59="Hoàn thành",IF(OR(L59="",J59=""),"Xong (thiếu ngày)",IF(L59&lt;=J59,"Xong đúng hạn","Xong trễ")),IF(J59="","Chưa có hạn",IF(J59&lt;TODAY(),"Quá hạn",IF(J59=TODAY(),"Đến hạn hôm nay",IF(J59-TODAY()&lt;=3,"Sắp đến hạn","Trong hạn"))))))</f>
        <v/>
      </c>
      <c r="Q59" s="9" t="str">
        <f aca="false">IF(OR(C59="",J59=""),"",WEEKNUM(J59,21))</f>
        <v/>
      </c>
      <c r="R59" s="2"/>
      <c r="S59" s="9" t="str">
        <f aca="true">IF(AND(C59&lt;&gt;"",K59&lt;&gt;"Hoàn thành",J59&lt;&gt;"",J59&lt;=TODAY()),MAX(S$5:S58)+1,"")</f>
        <v/>
      </c>
      <c r="T59" s="9" t="str">
        <f aca="false">IF(AND(C59&lt;&gt;"",IF(K59="","Chưa làm",K59)="Chưa làm"),MAX(T$5:T58)+1,"")</f>
        <v/>
      </c>
      <c r="U59" s="9" t="str">
        <f aca="false">IF(AND(C59&lt;&gt;"",IF(K59="","Chưa làm",K59)="Đang làm"),MAX(U$5:U58)+1,"")</f>
        <v/>
      </c>
      <c r="V59" s="9" t="str">
        <f aca="false">IF(AND(C59&lt;&gt;"",IF(K59="","Chưa làm",K59)="Chờ duyệt"),MAX(V$5:V58)+1,"")</f>
        <v/>
      </c>
      <c r="W59" s="9" t="str">
        <f aca="false">IF(AND(C59&lt;&gt;"",IF(K59="","Chưa làm",K59)="Hoàn thành"),MAX(W$5:W58)+1,"")</f>
        <v/>
      </c>
      <c r="X59" s="9" t="str">
        <f aca="false">IF(AND(C59&lt;&gt;"",K59&lt;&gt;"Hoàn thành",N59="1. Làm ngay"),MAX(X$5:X58)+1,"")</f>
        <v/>
      </c>
      <c r="Y59" s="9" t="str">
        <f aca="false">IF(AND(C59&lt;&gt;"",K59&lt;&gt;"Hoàn thành",N59="2. Lên lịch"),MAX(Y$5:Y58)+1,"")</f>
        <v/>
      </c>
      <c r="Z59" s="9" t="str">
        <f aca="false">IF(AND(C59&lt;&gt;"",K59&lt;&gt;"Hoàn thành",N59="3. Giao lại"),MAX(Z$5:Z58)+1,"")</f>
        <v/>
      </c>
      <c r="AA59" s="9" t="str">
        <f aca="false">IF(AND(C59&lt;&gt;"",K59&lt;&gt;"Hoàn thành",N59="4. Để sau"),MAX(AA$5:AA58)+1,"")</f>
        <v/>
      </c>
      <c r="AB59" s="9" t="str">
        <f aca="false">IF(AND(C59&lt;&gt;"",J59&lt;&gt;"",J59&gt;=TUAN!$C$3,J59&lt;=TUAN!$C$3+6),MAX(AB$5:AB58)+1,"")</f>
        <v/>
      </c>
    </row>
    <row r="60" customFormat="false" ht="15" hidden="false" customHeight="false" outlineLevel="0" collapsed="false">
      <c r="A60" s="9" t="str">
        <f aca="false">IF(C60="","","CV"&amp;TEXT(ROW()-5,"000"))</f>
        <v/>
      </c>
      <c r="B60" s="10"/>
      <c r="C60" s="11"/>
      <c r="D60" s="12"/>
      <c r="E60" s="12"/>
      <c r="F60" s="12"/>
      <c r="G60" s="12"/>
      <c r="H60" s="12"/>
      <c r="I60" s="12"/>
      <c r="J60" s="10"/>
      <c r="K60" s="12"/>
      <c r="L60" s="10"/>
      <c r="M60" s="12"/>
      <c r="N60" s="9" t="str">
        <f aca="false">IF(C60="","",IF(AND(H60="Có",I60="Có"),"1. Làm ngay",IF(H60="Có","2. Lên lịch",IF(I60="Có","3. Giao lại","4. Để sau"))))</f>
        <v/>
      </c>
      <c r="O60" s="9" t="str">
        <f aca="true">IF(OR(C60="",J60="",K60="Hoàn thành"),"",J60-TODAY())</f>
        <v/>
      </c>
      <c r="P60" s="9" t="str">
        <f aca="true">IF(C60="","",IF(K60="Hoàn thành",IF(OR(L60="",J60=""),"Xong (thiếu ngày)",IF(L60&lt;=J60,"Xong đúng hạn","Xong trễ")),IF(J60="","Chưa có hạn",IF(J60&lt;TODAY(),"Quá hạn",IF(J60=TODAY(),"Đến hạn hôm nay",IF(J60-TODAY()&lt;=3,"Sắp đến hạn","Trong hạn"))))))</f>
        <v/>
      </c>
      <c r="Q60" s="9" t="str">
        <f aca="false">IF(OR(C60="",J60=""),"",WEEKNUM(J60,21))</f>
        <v/>
      </c>
      <c r="R60" s="2"/>
      <c r="S60" s="9" t="str">
        <f aca="true">IF(AND(C60&lt;&gt;"",K60&lt;&gt;"Hoàn thành",J60&lt;&gt;"",J60&lt;=TODAY()),MAX(S$5:S59)+1,"")</f>
        <v/>
      </c>
      <c r="T60" s="9" t="str">
        <f aca="false">IF(AND(C60&lt;&gt;"",IF(K60="","Chưa làm",K60)="Chưa làm"),MAX(T$5:T59)+1,"")</f>
        <v/>
      </c>
      <c r="U60" s="9" t="str">
        <f aca="false">IF(AND(C60&lt;&gt;"",IF(K60="","Chưa làm",K60)="Đang làm"),MAX(U$5:U59)+1,"")</f>
        <v/>
      </c>
      <c r="V60" s="9" t="str">
        <f aca="false">IF(AND(C60&lt;&gt;"",IF(K60="","Chưa làm",K60)="Chờ duyệt"),MAX(V$5:V59)+1,"")</f>
        <v/>
      </c>
      <c r="W60" s="9" t="str">
        <f aca="false">IF(AND(C60&lt;&gt;"",IF(K60="","Chưa làm",K60)="Hoàn thành"),MAX(W$5:W59)+1,"")</f>
        <v/>
      </c>
      <c r="X60" s="9" t="str">
        <f aca="false">IF(AND(C60&lt;&gt;"",K60&lt;&gt;"Hoàn thành",N60="1. Làm ngay"),MAX(X$5:X59)+1,"")</f>
        <v/>
      </c>
      <c r="Y60" s="9" t="str">
        <f aca="false">IF(AND(C60&lt;&gt;"",K60&lt;&gt;"Hoàn thành",N60="2. Lên lịch"),MAX(Y$5:Y59)+1,"")</f>
        <v/>
      </c>
      <c r="Z60" s="9" t="str">
        <f aca="false">IF(AND(C60&lt;&gt;"",K60&lt;&gt;"Hoàn thành",N60="3. Giao lại"),MAX(Z$5:Z59)+1,"")</f>
        <v/>
      </c>
      <c r="AA60" s="9" t="str">
        <f aca="false">IF(AND(C60&lt;&gt;"",K60&lt;&gt;"Hoàn thành",N60="4. Để sau"),MAX(AA$5:AA59)+1,"")</f>
        <v/>
      </c>
      <c r="AB60" s="9" t="str">
        <f aca="false">IF(AND(C60&lt;&gt;"",J60&lt;&gt;"",J60&gt;=TUAN!$C$3,J60&lt;=TUAN!$C$3+6),MAX(AB$5:AB59)+1,"")</f>
        <v/>
      </c>
    </row>
    <row r="61" customFormat="false" ht="15" hidden="false" customHeight="false" outlineLevel="0" collapsed="false">
      <c r="A61" s="9" t="str">
        <f aca="false">IF(C61="","","CV"&amp;TEXT(ROW()-5,"000"))</f>
        <v/>
      </c>
      <c r="B61" s="10"/>
      <c r="C61" s="11"/>
      <c r="D61" s="12"/>
      <c r="E61" s="12"/>
      <c r="F61" s="12"/>
      <c r="G61" s="12"/>
      <c r="H61" s="12"/>
      <c r="I61" s="12"/>
      <c r="J61" s="10"/>
      <c r="K61" s="12"/>
      <c r="L61" s="10"/>
      <c r="M61" s="12"/>
      <c r="N61" s="9" t="str">
        <f aca="false">IF(C61="","",IF(AND(H61="Có",I61="Có"),"1. Làm ngay",IF(H61="Có","2. Lên lịch",IF(I61="Có","3. Giao lại","4. Để sau"))))</f>
        <v/>
      </c>
      <c r="O61" s="9" t="str">
        <f aca="true">IF(OR(C61="",J61="",K61="Hoàn thành"),"",J61-TODAY())</f>
        <v/>
      </c>
      <c r="P61" s="9" t="str">
        <f aca="true">IF(C61="","",IF(K61="Hoàn thành",IF(OR(L61="",J61=""),"Xong (thiếu ngày)",IF(L61&lt;=J61,"Xong đúng hạn","Xong trễ")),IF(J61="","Chưa có hạn",IF(J61&lt;TODAY(),"Quá hạn",IF(J61=TODAY(),"Đến hạn hôm nay",IF(J61-TODAY()&lt;=3,"Sắp đến hạn","Trong hạn"))))))</f>
        <v/>
      </c>
      <c r="Q61" s="9" t="str">
        <f aca="false">IF(OR(C61="",J61=""),"",WEEKNUM(J61,21))</f>
        <v/>
      </c>
      <c r="R61" s="2"/>
      <c r="S61" s="9" t="str">
        <f aca="true">IF(AND(C61&lt;&gt;"",K61&lt;&gt;"Hoàn thành",J61&lt;&gt;"",J61&lt;=TODAY()),MAX(S$5:S60)+1,"")</f>
        <v/>
      </c>
      <c r="T61" s="9" t="str">
        <f aca="false">IF(AND(C61&lt;&gt;"",IF(K61="","Chưa làm",K61)="Chưa làm"),MAX(T$5:T60)+1,"")</f>
        <v/>
      </c>
      <c r="U61" s="9" t="str">
        <f aca="false">IF(AND(C61&lt;&gt;"",IF(K61="","Chưa làm",K61)="Đang làm"),MAX(U$5:U60)+1,"")</f>
        <v/>
      </c>
      <c r="V61" s="9" t="str">
        <f aca="false">IF(AND(C61&lt;&gt;"",IF(K61="","Chưa làm",K61)="Chờ duyệt"),MAX(V$5:V60)+1,"")</f>
        <v/>
      </c>
      <c r="W61" s="9" t="str">
        <f aca="false">IF(AND(C61&lt;&gt;"",IF(K61="","Chưa làm",K61)="Hoàn thành"),MAX(W$5:W60)+1,"")</f>
        <v/>
      </c>
      <c r="X61" s="9" t="str">
        <f aca="false">IF(AND(C61&lt;&gt;"",K61&lt;&gt;"Hoàn thành",N61="1. Làm ngay"),MAX(X$5:X60)+1,"")</f>
        <v/>
      </c>
      <c r="Y61" s="9" t="str">
        <f aca="false">IF(AND(C61&lt;&gt;"",K61&lt;&gt;"Hoàn thành",N61="2. Lên lịch"),MAX(Y$5:Y60)+1,"")</f>
        <v/>
      </c>
      <c r="Z61" s="9" t="str">
        <f aca="false">IF(AND(C61&lt;&gt;"",K61&lt;&gt;"Hoàn thành",N61="3. Giao lại"),MAX(Z$5:Z60)+1,"")</f>
        <v/>
      </c>
      <c r="AA61" s="9" t="str">
        <f aca="false">IF(AND(C61&lt;&gt;"",K61&lt;&gt;"Hoàn thành",N61="4. Để sau"),MAX(AA$5:AA60)+1,"")</f>
        <v/>
      </c>
      <c r="AB61" s="9" t="str">
        <f aca="false">IF(AND(C61&lt;&gt;"",J61&lt;&gt;"",J61&gt;=TUAN!$C$3,J61&lt;=TUAN!$C$3+6),MAX(AB$5:AB60)+1,"")</f>
        <v/>
      </c>
    </row>
    <row r="62" customFormat="false" ht="15" hidden="false" customHeight="false" outlineLevel="0" collapsed="false">
      <c r="A62" s="9" t="str">
        <f aca="false">IF(C62="","","CV"&amp;TEXT(ROW()-5,"000"))</f>
        <v/>
      </c>
      <c r="B62" s="10"/>
      <c r="C62" s="11"/>
      <c r="D62" s="12"/>
      <c r="E62" s="12"/>
      <c r="F62" s="12"/>
      <c r="G62" s="12"/>
      <c r="H62" s="12"/>
      <c r="I62" s="12"/>
      <c r="J62" s="10"/>
      <c r="K62" s="12"/>
      <c r="L62" s="10"/>
      <c r="M62" s="12"/>
      <c r="N62" s="9" t="str">
        <f aca="false">IF(C62="","",IF(AND(H62="Có",I62="Có"),"1. Làm ngay",IF(H62="Có","2. Lên lịch",IF(I62="Có","3. Giao lại","4. Để sau"))))</f>
        <v/>
      </c>
      <c r="O62" s="9" t="str">
        <f aca="true">IF(OR(C62="",J62="",K62="Hoàn thành"),"",J62-TODAY())</f>
        <v/>
      </c>
      <c r="P62" s="9" t="str">
        <f aca="true">IF(C62="","",IF(K62="Hoàn thành",IF(OR(L62="",J62=""),"Xong (thiếu ngày)",IF(L62&lt;=J62,"Xong đúng hạn","Xong trễ")),IF(J62="","Chưa có hạn",IF(J62&lt;TODAY(),"Quá hạn",IF(J62=TODAY(),"Đến hạn hôm nay",IF(J62-TODAY()&lt;=3,"Sắp đến hạn","Trong hạn"))))))</f>
        <v/>
      </c>
      <c r="Q62" s="9" t="str">
        <f aca="false">IF(OR(C62="",J62=""),"",WEEKNUM(J62,21))</f>
        <v/>
      </c>
      <c r="R62" s="2"/>
      <c r="S62" s="9" t="str">
        <f aca="true">IF(AND(C62&lt;&gt;"",K62&lt;&gt;"Hoàn thành",J62&lt;&gt;"",J62&lt;=TODAY()),MAX(S$5:S61)+1,"")</f>
        <v/>
      </c>
      <c r="T62" s="9" t="str">
        <f aca="false">IF(AND(C62&lt;&gt;"",IF(K62="","Chưa làm",K62)="Chưa làm"),MAX(T$5:T61)+1,"")</f>
        <v/>
      </c>
      <c r="U62" s="9" t="str">
        <f aca="false">IF(AND(C62&lt;&gt;"",IF(K62="","Chưa làm",K62)="Đang làm"),MAX(U$5:U61)+1,"")</f>
        <v/>
      </c>
      <c r="V62" s="9" t="str">
        <f aca="false">IF(AND(C62&lt;&gt;"",IF(K62="","Chưa làm",K62)="Chờ duyệt"),MAX(V$5:V61)+1,"")</f>
        <v/>
      </c>
      <c r="W62" s="9" t="str">
        <f aca="false">IF(AND(C62&lt;&gt;"",IF(K62="","Chưa làm",K62)="Hoàn thành"),MAX(W$5:W61)+1,"")</f>
        <v/>
      </c>
      <c r="X62" s="9" t="str">
        <f aca="false">IF(AND(C62&lt;&gt;"",K62&lt;&gt;"Hoàn thành",N62="1. Làm ngay"),MAX(X$5:X61)+1,"")</f>
        <v/>
      </c>
      <c r="Y62" s="9" t="str">
        <f aca="false">IF(AND(C62&lt;&gt;"",K62&lt;&gt;"Hoàn thành",N62="2. Lên lịch"),MAX(Y$5:Y61)+1,"")</f>
        <v/>
      </c>
      <c r="Z62" s="9" t="str">
        <f aca="false">IF(AND(C62&lt;&gt;"",K62&lt;&gt;"Hoàn thành",N62="3. Giao lại"),MAX(Z$5:Z61)+1,"")</f>
        <v/>
      </c>
      <c r="AA62" s="9" t="str">
        <f aca="false">IF(AND(C62&lt;&gt;"",K62&lt;&gt;"Hoàn thành",N62="4. Để sau"),MAX(AA$5:AA61)+1,"")</f>
        <v/>
      </c>
      <c r="AB62" s="9" t="str">
        <f aca="false">IF(AND(C62&lt;&gt;"",J62&lt;&gt;"",J62&gt;=TUAN!$C$3,J62&lt;=TUAN!$C$3+6),MAX(AB$5:AB61)+1,"")</f>
        <v/>
      </c>
    </row>
    <row r="63" customFormat="false" ht="15" hidden="false" customHeight="false" outlineLevel="0" collapsed="false">
      <c r="A63" s="9" t="str">
        <f aca="false">IF(C63="","","CV"&amp;TEXT(ROW()-5,"000"))</f>
        <v/>
      </c>
      <c r="B63" s="10"/>
      <c r="C63" s="11"/>
      <c r="D63" s="12"/>
      <c r="E63" s="12"/>
      <c r="F63" s="12"/>
      <c r="G63" s="12"/>
      <c r="H63" s="12"/>
      <c r="I63" s="12"/>
      <c r="J63" s="10"/>
      <c r="K63" s="12"/>
      <c r="L63" s="10"/>
      <c r="M63" s="12"/>
      <c r="N63" s="9" t="str">
        <f aca="false">IF(C63="","",IF(AND(H63="Có",I63="Có"),"1. Làm ngay",IF(H63="Có","2. Lên lịch",IF(I63="Có","3. Giao lại","4. Để sau"))))</f>
        <v/>
      </c>
      <c r="O63" s="9" t="str">
        <f aca="true">IF(OR(C63="",J63="",K63="Hoàn thành"),"",J63-TODAY())</f>
        <v/>
      </c>
      <c r="P63" s="9" t="str">
        <f aca="true">IF(C63="","",IF(K63="Hoàn thành",IF(OR(L63="",J63=""),"Xong (thiếu ngày)",IF(L63&lt;=J63,"Xong đúng hạn","Xong trễ")),IF(J63="","Chưa có hạn",IF(J63&lt;TODAY(),"Quá hạn",IF(J63=TODAY(),"Đến hạn hôm nay",IF(J63-TODAY()&lt;=3,"Sắp đến hạn","Trong hạn"))))))</f>
        <v/>
      </c>
      <c r="Q63" s="9" t="str">
        <f aca="false">IF(OR(C63="",J63=""),"",WEEKNUM(J63,21))</f>
        <v/>
      </c>
      <c r="R63" s="2"/>
      <c r="S63" s="9" t="str">
        <f aca="true">IF(AND(C63&lt;&gt;"",K63&lt;&gt;"Hoàn thành",J63&lt;&gt;"",J63&lt;=TODAY()),MAX(S$5:S62)+1,"")</f>
        <v/>
      </c>
      <c r="T63" s="9" t="str">
        <f aca="false">IF(AND(C63&lt;&gt;"",IF(K63="","Chưa làm",K63)="Chưa làm"),MAX(T$5:T62)+1,"")</f>
        <v/>
      </c>
      <c r="U63" s="9" t="str">
        <f aca="false">IF(AND(C63&lt;&gt;"",IF(K63="","Chưa làm",K63)="Đang làm"),MAX(U$5:U62)+1,"")</f>
        <v/>
      </c>
      <c r="V63" s="9" t="str">
        <f aca="false">IF(AND(C63&lt;&gt;"",IF(K63="","Chưa làm",K63)="Chờ duyệt"),MAX(V$5:V62)+1,"")</f>
        <v/>
      </c>
      <c r="W63" s="9" t="str">
        <f aca="false">IF(AND(C63&lt;&gt;"",IF(K63="","Chưa làm",K63)="Hoàn thành"),MAX(W$5:W62)+1,"")</f>
        <v/>
      </c>
      <c r="X63" s="9" t="str">
        <f aca="false">IF(AND(C63&lt;&gt;"",K63&lt;&gt;"Hoàn thành",N63="1. Làm ngay"),MAX(X$5:X62)+1,"")</f>
        <v/>
      </c>
      <c r="Y63" s="9" t="str">
        <f aca="false">IF(AND(C63&lt;&gt;"",K63&lt;&gt;"Hoàn thành",N63="2. Lên lịch"),MAX(Y$5:Y62)+1,"")</f>
        <v/>
      </c>
      <c r="Z63" s="9" t="str">
        <f aca="false">IF(AND(C63&lt;&gt;"",K63&lt;&gt;"Hoàn thành",N63="3. Giao lại"),MAX(Z$5:Z62)+1,"")</f>
        <v/>
      </c>
      <c r="AA63" s="9" t="str">
        <f aca="false">IF(AND(C63&lt;&gt;"",K63&lt;&gt;"Hoàn thành",N63="4. Để sau"),MAX(AA$5:AA62)+1,"")</f>
        <v/>
      </c>
      <c r="AB63" s="9" t="str">
        <f aca="false">IF(AND(C63&lt;&gt;"",J63&lt;&gt;"",J63&gt;=TUAN!$C$3,J63&lt;=TUAN!$C$3+6),MAX(AB$5:AB62)+1,"")</f>
        <v/>
      </c>
    </row>
    <row r="64" customFormat="false" ht="15" hidden="false" customHeight="false" outlineLevel="0" collapsed="false">
      <c r="A64" s="9" t="str">
        <f aca="false">IF(C64="","","CV"&amp;TEXT(ROW()-5,"000"))</f>
        <v/>
      </c>
      <c r="B64" s="10"/>
      <c r="C64" s="11"/>
      <c r="D64" s="12"/>
      <c r="E64" s="12"/>
      <c r="F64" s="12"/>
      <c r="G64" s="12"/>
      <c r="H64" s="12"/>
      <c r="I64" s="12"/>
      <c r="J64" s="10"/>
      <c r="K64" s="12"/>
      <c r="L64" s="10"/>
      <c r="M64" s="12"/>
      <c r="N64" s="9" t="str">
        <f aca="false">IF(C64="","",IF(AND(H64="Có",I64="Có"),"1. Làm ngay",IF(H64="Có","2. Lên lịch",IF(I64="Có","3. Giao lại","4. Để sau"))))</f>
        <v/>
      </c>
      <c r="O64" s="9" t="str">
        <f aca="true">IF(OR(C64="",J64="",K64="Hoàn thành"),"",J64-TODAY())</f>
        <v/>
      </c>
      <c r="P64" s="9" t="str">
        <f aca="true">IF(C64="","",IF(K64="Hoàn thành",IF(OR(L64="",J64=""),"Xong (thiếu ngày)",IF(L64&lt;=J64,"Xong đúng hạn","Xong trễ")),IF(J64="","Chưa có hạn",IF(J64&lt;TODAY(),"Quá hạn",IF(J64=TODAY(),"Đến hạn hôm nay",IF(J64-TODAY()&lt;=3,"Sắp đến hạn","Trong hạn"))))))</f>
        <v/>
      </c>
      <c r="Q64" s="9" t="str">
        <f aca="false">IF(OR(C64="",J64=""),"",WEEKNUM(J64,21))</f>
        <v/>
      </c>
      <c r="R64" s="2"/>
      <c r="S64" s="9" t="str">
        <f aca="true">IF(AND(C64&lt;&gt;"",K64&lt;&gt;"Hoàn thành",J64&lt;&gt;"",J64&lt;=TODAY()),MAX(S$5:S63)+1,"")</f>
        <v/>
      </c>
      <c r="T64" s="9" t="str">
        <f aca="false">IF(AND(C64&lt;&gt;"",IF(K64="","Chưa làm",K64)="Chưa làm"),MAX(T$5:T63)+1,"")</f>
        <v/>
      </c>
      <c r="U64" s="9" t="str">
        <f aca="false">IF(AND(C64&lt;&gt;"",IF(K64="","Chưa làm",K64)="Đang làm"),MAX(U$5:U63)+1,"")</f>
        <v/>
      </c>
      <c r="V64" s="9" t="str">
        <f aca="false">IF(AND(C64&lt;&gt;"",IF(K64="","Chưa làm",K64)="Chờ duyệt"),MAX(V$5:V63)+1,"")</f>
        <v/>
      </c>
      <c r="W64" s="9" t="str">
        <f aca="false">IF(AND(C64&lt;&gt;"",IF(K64="","Chưa làm",K64)="Hoàn thành"),MAX(W$5:W63)+1,"")</f>
        <v/>
      </c>
      <c r="X64" s="9" t="str">
        <f aca="false">IF(AND(C64&lt;&gt;"",K64&lt;&gt;"Hoàn thành",N64="1. Làm ngay"),MAX(X$5:X63)+1,"")</f>
        <v/>
      </c>
      <c r="Y64" s="9" t="str">
        <f aca="false">IF(AND(C64&lt;&gt;"",K64&lt;&gt;"Hoàn thành",N64="2. Lên lịch"),MAX(Y$5:Y63)+1,"")</f>
        <v/>
      </c>
      <c r="Z64" s="9" t="str">
        <f aca="false">IF(AND(C64&lt;&gt;"",K64&lt;&gt;"Hoàn thành",N64="3. Giao lại"),MAX(Z$5:Z63)+1,"")</f>
        <v/>
      </c>
      <c r="AA64" s="9" t="str">
        <f aca="false">IF(AND(C64&lt;&gt;"",K64&lt;&gt;"Hoàn thành",N64="4. Để sau"),MAX(AA$5:AA63)+1,"")</f>
        <v/>
      </c>
      <c r="AB64" s="9" t="str">
        <f aca="false">IF(AND(C64&lt;&gt;"",J64&lt;&gt;"",J64&gt;=TUAN!$C$3,J64&lt;=TUAN!$C$3+6),MAX(AB$5:AB63)+1,"")</f>
        <v/>
      </c>
    </row>
    <row r="65" customFormat="false" ht="15" hidden="false" customHeight="false" outlineLevel="0" collapsed="false">
      <c r="A65" s="9" t="str">
        <f aca="false">IF(C65="","","CV"&amp;TEXT(ROW()-5,"000"))</f>
        <v/>
      </c>
      <c r="B65" s="10"/>
      <c r="C65" s="11"/>
      <c r="D65" s="12"/>
      <c r="E65" s="12"/>
      <c r="F65" s="12"/>
      <c r="G65" s="12"/>
      <c r="H65" s="12"/>
      <c r="I65" s="12"/>
      <c r="J65" s="10"/>
      <c r="K65" s="12"/>
      <c r="L65" s="10"/>
      <c r="M65" s="12"/>
      <c r="N65" s="9" t="str">
        <f aca="false">IF(C65="","",IF(AND(H65="Có",I65="Có"),"1. Làm ngay",IF(H65="Có","2. Lên lịch",IF(I65="Có","3. Giao lại","4. Để sau"))))</f>
        <v/>
      </c>
      <c r="O65" s="9" t="str">
        <f aca="true">IF(OR(C65="",J65="",K65="Hoàn thành"),"",J65-TODAY())</f>
        <v/>
      </c>
      <c r="P65" s="9" t="str">
        <f aca="true">IF(C65="","",IF(K65="Hoàn thành",IF(OR(L65="",J65=""),"Xong (thiếu ngày)",IF(L65&lt;=J65,"Xong đúng hạn","Xong trễ")),IF(J65="","Chưa có hạn",IF(J65&lt;TODAY(),"Quá hạn",IF(J65=TODAY(),"Đến hạn hôm nay",IF(J65-TODAY()&lt;=3,"Sắp đến hạn","Trong hạn"))))))</f>
        <v/>
      </c>
      <c r="Q65" s="9" t="str">
        <f aca="false">IF(OR(C65="",J65=""),"",WEEKNUM(J65,21))</f>
        <v/>
      </c>
      <c r="R65" s="2"/>
      <c r="S65" s="9" t="str">
        <f aca="true">IF(AND(C65&lt;&gt;"",K65&lt;&gt;"Hoàn thành",J65&lt;&gt;"",J65&lt;=TODAY()),MAX(S$5:S64)+1,"")</f>
        <v/>
      </c>
      <c r="T65" s="9" t="str">
        <f aca="false">IF(AND(C65&lt;&gt;"",IF(K65="","Chưa làm",K65)="Chưa làm"),MAX(T$5:T64)+1,"")</f>
        <v/>
      </c>
      <c r="U65" s="9" t="str">
        <f aca="false">IF(AND(C65&lt;&gt;"",IF(K65="","Chưa làm",K65)="Đang làm"),MAX(U$5:U64)+1,"")</f>
        <v/>
      </c>
      <c r="V65" s="9" t="str">
        <f aca="false">IF(AND(C65&lt;&gt;"",IF(K65="","Chưa làm",K65)="Chờ duyệt"),MAX(V$5:V64)+1,"")</f>
        <v/>
      </c>
      <c r="W65" s="9" t="str">
        <f aca="false">IF(AND(C65&lt;&gt;"",IF(K65="","Chưa làm",K65)="Hoàn thành"),MAX(W$5:W64)+1,"")</f>
        <v/>
      </c>
      <c r="X65" s="9" t="str">
        <f aca="false">IF(AND(C65&lt;&gt;"",K65&lt;&gt;"Hoàn thành",N65="1. Làm ngay"),MAX(X$5:X64)+1,"")</f>
        <v/>
      </c>
      <c r="Y65" s="9" t="str">
        <f aca="false">IF(AND(C65&lt;&gt;"",K65&lt;&gt;"Hoàn thành",N65="2. Lên lịch"),MAX(Y$5:Y64)+1,"")</f>
        <v/>
      </c>
      <c r="Z65" s="9" t="str">
        <f aca="false">IF(AND(C65&lt;&gt;"",K65&lt;&gt;"Hoàn thành",N65="3. Giao lại"),MAX(Z$5:Z64)+1,"")</f>
        <v/>
      </c>
      <c r="AA65" s="9" t="str">
        <f aca="false">IF(AND(C65&lt;&gt;"",K65&lt;&gt;"Hoàn thành",N65="4. Để sau"),MAX(AA$5:AA64)+1,"")</f>
        <v/>
      </c>
      <c r="AB65" s="9" t="str">
        <f aca="false">IF(AND(C65&lt;&gt;"",J65&lt;&gt;"",J65&gt;=TUAN!$C$3,J65&lt;=TUAN!$C$3+6),MAX(AB$5:AB64)+1,"")</f>
        <v/>
      </c>
    </row>
    <row r="66" customFormat="false" ht="15" hidden="false" customHeight="false" outlineLevel="0" collapsed="false">
      <c r="A66" s="9" t="str">
        <f aca="false">IF(C66="","","CV"&amp;TEXT(ROW()-5,"000"))</f>
        <v/>
      </c>
      <c r="B66" s="10"/>
      <c r="C66" s="11"/>
      <c r="D66" s="12"/>
      <c r="E66" s="12"/>
      <c r="F66" s="12"/>
      <c r="G66" s="12"/>
      <c r="H66" s="12"/>
      <c r="I66" s="12"/>
      <c r="J66" s="10"/>
      <c r="K66" s="12"/>
      <c r="L66" s="10"/>
      <c r="M66" s="12"/>
      <c r="N66" s="9" t="str">
        <f aca="false">IF(C66="","",IF(AND(H66="Có",I66="Có"),"1. Làm ngay",IF(H66="Có","2. Lên lịch",IF(I66="Có","3. Giao lại","4. Để sau"))))</f>
        <v/>
      </c>
      <c r="O66" s="9" t="str">
        <f aca="true">IF(OR(C66="",J66="",K66="Hoàn thành"),"",J66-TODAY())</f>
        <v/>
      </c>
      <c r="P66" s="9" t="str">
        <f aca="true">IF(C66="","",IF(K66="Hoàn thành",IF(OR(L66="",J66=""),"Xong (thiếu ngày)",IF(L66&lt;=J66,"Xong đúng hạn","Xong trễ")),IF(J66="","Chưa có hạn",IF(J66&lt;TODAY(),"Quá hạn",IF(J66=TODAY(),"Đến hạn hôm nay",IF(J66-TODAY()&lt;=3,"Sắp đến hạn","Trong hạn"))))))</f>
        <v/>
      </c>
      <c r="Q66" s="9" t="str">
        <f aca="false">IF(OR(C66="",J66=""),"",WEEKNUM(J66,21))</f>
        <v/>
      </c>
      <c r="R66" s="2"/>
      <c r="S66" s="9" t="str">
        <f aca="true">IF(AND(C66&lt;&gt;"",K66&lt;&gt;"Hoàn thành",J66&lt;&gt;"",J66&lt;=TODAY()),MAX(S$5:S65)+1,"")</f>
        <v/>
      </c>
      <c r="T66" s="9" t="str">
        <f aca="false">IF(AND(C66&lt;&gt;"",IF(K66="","Chưa làm",K66)="Chưa làm"),MAX(T$5:T65)+1,"")</f>
        <v/>
      </c>
      <c r="U66" s="9" t="str">
        <f aca="false">IF(AND(C66&lt;&gt;"",IF(K66="","Chưa làm",K66)="Đang làm"),MAX(U$5:U65)+1,"")</f>
        <v/>
      </c>
      <c r="V66" s="9" t="str">
        <f aca="false">IF(AND(C66&lt;&gt;"",IF(K66="","Chưa làm",K66)="Chờ duyệt"),MAX(V$5:V65)+1,"")</f>
        <v/>
      </c>
      <c r="W66" s="9" t="str">
        <f aca="false">IF(AND(C66&lt;&gt;"",IF(K66="","Chưa làm",K66)="Hoàn thành"),MAX(W$5:W65)+1,"")</f>
        <v/>
      </c>
      <c r="X66" s="9" t="str">
        <f aca="false">IF(AND(C66&lt;&gt;"",K66&lt;&gt;"Hoàn thành",N66="1. Làm ngay"),MAX(X$5:X65)+1,"")</f>
        <v/>
      </c>
      <c r="Y66" s="9" t="str">
        <f aca="false">IF(AND(C66&lt;&gt;"",K66&lt;&gt;"Hoàn thành",N66="2. Lên lịch"),MAX(Y$5:Y65)+1,"")</f>
        <v/>
      </c>
      <c r="Z66" s="9" t="str">
        <f aca="false">IF(AND(C66&lt;&gt;"",K66&lt;&gt;"Hoàn thành",N66="3. Giao lại"),MAX(Z$5:Z65)+1,"")</f>
        <v/>
      </c>
      <c r="AA66" s="9" t="str">
        <f aca="false">IF(AND(C66&lt;&gt;"",K66&lt;&gt;"Hoàn thành",N66="4. Để sau"),MAX(AA$5:AA65)+1,"")</f>
        <v/>
      </c>
      <c r="AB66" s="9" t="str">
        <f aca="false">IF(AND(C66&lt;&gt;"",J66&lt;&gt;"",J66&gt;=TUAN!$C$3,J66&lt;=TUAN!$C$3+6),MAX(AB$5:AB65)+1,"")</f>
        <v/>
      </c>
    </row>
    <row r="67" customFormat="false" ht="15" hidden="false" customHeight="false" outlineLevel="0" collapsed="false">
      <c r="A67" s="9" t="str">
        <f aca="false">IF(C67="","","CV"&amp;TEXT(ROW()-5,"000"))</f>
        <v/>
      </c>
      <c r="B67" s="10"/>
      <c r="C67" s="11"/>
      <c r="D67" s="12"/>
      <c r="E67" s="12"/>
      <c r="F67" s="12"/>
      <c r="G67" s="12"/>
      <c r="H67" s="12"/>
      <c r="I67" s="12"/>
      <c r="J67" s="10"/>
      <c r="K67" s="12"/>
      <c r="L67" s="10"/>
      <c r="M67" s="12"/>
      <c r="N67" s="9" t="str">
        <f aca="false">IF(C67="","",IF(AND(H67="Có",I67="Có"),"1. Làm ngay",IF(H67="Có","2. Lên lịch",IF(I67="Có","3. Giao lại","4. Để sau"))))</f>
        <v/>
      </c>
      <c r="O67" s="9" t="str">
        <f aca="true">IF(OR(C67="",J67="",K67="Hoàn thành"),"",J67-TODAY())</f>
        <v/>
      </c>
      <c r="P67" s="9" t="str">
        <f aca="true">IF(C67="","",IF(K67="Hoàn thành",IF(OR(L67="",J67=""),"Xong (thiếu ngày)",IF(L67&lt;=J67,"Xong đúng hạn","Xong trễ")),IF(J67="","Chưa có hạn",IF(J67&lt;TODAY(),"Quá hạn",IF(J67=TODAY(),"Đến hạn hôm nay",IF(J67-TODAY()&lt;=3,"Sắp đến hạn","Trong hạn"))))))</f>
        <v/>
      </c>
      <c r="Q67" s="9" t="str">
        <f aca="false">IF(OR(C67="",J67=""),"",WEEKNUM(J67,21))</f>
        <v/>
      </c>
      <c r="R67" s="2"/>
      <c r="S67" s="9" t="str">
        <f aca="true">IF(AND(C67&lt;&gt;"",K67&lt;&gt;"Hoàn thành",J67&lt;&gt;"",J67&lt;=TODAY()),MAX(S$5:S66)+1,"")</f>
        <v/>
      </c>
      <c r="T67" s="9" t="str">
        <f aca="false">IF(AND(C67&lt;&gt;"",IF(K67="","Chưa làm",K67)="Chưa làm"),MAX(T$5:T66)+1,"")</f>
        <v/>
      </c>
      <c r="U67" s="9" t="str">
        <f aca="false">IF(AND(C67&lt;&gt;"",IF(K67="","Chưa làm",K67)="Đang làm"),MAX(U$5:U66)+1,"")</f>
        <v/>
      </c>
      <c r="V67" s="9" t="str">
        <f aca="false">IF(AND(C67&lt;&gt;"",IF(K67="","Chưa làm",K67)="Chờ duyệt"),MAX(V$5:V66)+1,"")</f>
        <v/>
      </c>
      <c r="W67" s="9" t="str">
        <f aca="false">IF(AND(C67&lt;&gt;"",IF(K67="","Chưa làm",K67)="Hoàn thành"),MAX(W$5:W66)+1,"")</f>
        <v/>
      </c>
      <c r="X67" s="9" t="str">
        <f aca="false">IF(AND(C67&lt;&gt;"",K67&lt;&gt;"Hoàn thành",N67="1. Làm ngay"),MAX(X$5:X66)+1,"")</f>
        <v/>
      </c>
      <c r="Y67" s="9" t="str">
        <f aca="false">IF(AND(C67&lt;&gt;"",K67&lt;&gt;"Hoàn thành",N67="2. Lên lịch"),MAX(Y$5:Y66)+1,"")</f>
        <v/>
      </c>
      <c r="Z67" s="9" t="str">
        <f aca="false">IF(AND(C67&lt;&gt;"",K67&lt;&gt;"Hoàn thành",N67="3. Giao lại"),MAX(Z$5:Z66)+1,"")</f>
        <v/>
      </c>
      <c r="AA67" s="9" t="str">
        <f aca="false">IF(AND(C67&lt;&gt;"",K67&lt;&gt;"Hoàn thành",N67="4. Để sau"),MAX(AA$5:AA66)+1,"")</f>
        <v/>
      </c>
      <c r="AB67" s="9" t="str">
        <f aca="false">IF(AND(C67&lt;&gt;"",J67&lt;&gt;"",J67&gt;=TUAN!$C$3,J67&lt;=TUAN!$C$3+6),MAX(AB$5:AB66)+1,"")</f>
        <v/>
      </c>
    </row>
    <row r="68" customFormat="false" ht="15" hidden="false" customHeight="false" outlineLevel="0" collapsed="false">
      <c r="A68" s="9" t="str">
        <f aca="false">IF(C68="","","CV"&amp;TEXT(ROW()-5,"000"))</f>
        <v/>
      </c>
      <c r="B68" s="10"/>
      <c r="C68" s="11"/>
      <c r="D68" s="12"/>
      <c r="E68" s="12"/>
      <c r="F68" s="12"/>
      <c r="G68" s="12"/>
      <c r="H68" s="12"/>
      <c r="I68" s="12"/>
      <c r="J68" s="10"/>
      <c r="K68" s="12"/>
      <c r="L68" s="10"/>
      <c r="M68" s="12"/>
      <c r="N68" s="9" t="str">
        <f aca="false">IF(C68="","",IF(AND(H68="Có",I68="Có"),"1. Làm ngay",IF(H68="Có","2. Lên lịch",IF(I68="Có","3. Giao lại","4. Để sau"))))</f>
        <v/>
      </c>
      <c r="O68" s="9" t="str">
        <f aca="true">IF(OR(C68="",J68="",K68="Hoàn thành"),"",J68-TODAY())</f>
        <v/>
      </c>
      <c r="P68" s="9" t="str">
        <f aca="true">IF(C68="","",IF(K68="Hoàn thành",IF(OR(L68="",J68=""),"Xong (thiếu ngày)",IF(L68&lt;=J68,"Xong đúng hạn","Xong trễ")),IF(J68="","Chưa có hạn",IF(J68&lt;TODAY(),"Quá hạn",IF(J68=TODAY(),"Đến hạn hôm nay",IF(J68-TODAY()&lt;=3,"Sắp đến hạn","Trong hạn"))))))</f>
        <v/>
      </c>
      <c r="Q68" s="9" t="str">
        <f aca="false">IF(OR(C68="",J68=""),"",WEEKNUM(J68,21))</f>
        <v/>
      </c>
      <c r="R68" s="2"/>
      <c r="S68" s="9" t="str">
        <f aca="true">IF(AND(C68&lt;&gt;"",K68&lt;&gt;"Hoàn thành",J68&lt;&gt;"",J68&lt;=TODAY()),MAX(S$5:S67)+1,"")</f>
        <v/>
      </c>
      <c r="T68" s="9" t="str">
        <f aca="false">IF(AND(C68&lt;&gt;"",IF(K68="","Chưa làm",K68)="Chưa làm"),MAX(T$5:T67)+1,"")</f>
        <v/>
      </c>
      <c r="U68" s="9" t="str">
        <f aca="false">IF(AND(C68&lt;&gt;"",IF(K68="","Chưa làm",K68)="Đang làm"),MAX(U$5:U67)+1,"")</f>
        <v/>
      </c>
      <c r="V68" s="9" t="str">
        <f aca="false">IF(AND(C68&lt;&gt;"",IF(K68="","Chưa làm",K68)="Chờ duyệt"),MAX(V$5:V67)+1,"")</f>
        <v/>
      </c>
      <c r="W68" s="9" t="str">
        <f aca="false">IF(AND(C68&lt;&gt;"",IF(K68="","Chưa làm",K68)="Hoàn thành"),MAX(W$5:W67)+1,"")</f>
        <v/>
      </c>
      <c r="X68" s="9" t="str">
        <f aca="false">IF(AND(C68&lt;&gt;"",K68&lt;&gt;"Hoàn thành",N68="1. Làm ngay"),MAX(X$5:X67)+1,"")</f>
        <v/>
      </c>
      <c r="Y68" s="9" t="str">
        <f aca="false">IF(AND(C68&lt;&gt;"",K68&lt;&gt;"Hoàn thành",N68="2. Lên lịch"),MAX(Y$5:Y67)+1,"")</f>
        <v/>
      </c>
      <c r="Z68" s="9" t="str">
        <f aca="false">IF(AND(C68&lt;&gt;"",K68&lt;&gt;"Hoàn thành",N68="3. Giao lại"),MAX(Z$5:Z67)+1,"")</f>
        <v/>
      </c>
      <c r="AA68" s="9" t="str">
        <f aca="false">IF(AND(C68&lt;&gt;"",K68&lt;&gt;"Hoàn thành",N68="4. Để sau"),MAX(AA$5:AA67)+1,"")</f>
        <v/>
      </c>
      <c r="AB68" s="9" t="str">
        <f aca="false">IF(AND(C68&lt;&gt;"",J68&lt;&gt;"",J68&gt;=TUAN!$C$3,J68&lt;=TUAN!$C$3+6),MAX(AB$5:AB67)+1,"")</f>
        <v/>
      </c>
    </row>
    <row r="69" customFormat="false" ht="15" hidden="false" customHeight="false" outlineLevel="0" collapsed="false">
      <c r="A69" s="9" t="str">
        <f aca="false">IF(C69="","","CV"&amp;TEXT(ROW()-5,"000"))</f>
        <v/>
      </c>
      <c r="B69" s="10"/>
      <c r="C69" s="11"/>
      <c r="D69" s="12"/>
      <c r="E69" s="12"/>
      <c r="F69" s="12"/>
      <c r="G69" s="12"/>
      <c r="H69" s="12"/>
      <c r="I69" s="12"/>
      <c r="J69" s="10"/>
      <c r="K69" s="12"/>
      <c r="L69" s="10"/>
      <c r="M69" s="12"/>
      <c r="N69" s="9" t="str">
        <f aca="false">IF(C69="","",IF(AND(H69="Có",I69="Có"),"1. Làm ngay",IF(H69="Có","2. Lên lịch",IF(I69="Có","3. Giao lại","4. Để sau"))))</f>
        <v/>
      </c>
      <c r="O69" s="9" t="str">
        <f aca="true">IF(OR(C69="",J69="",K69="Hoàn thành"),"",J69-TODAY())</f>
        <v/>
      </c>
      <c r="P69" s="9" t="str">
        <f aca="true">IF(C69="","",IF(K69="Hoàn thành",IF(OR(L69="",J69=""),"Xong (thiếu ngày)",IF(L69&lt;=J69,"Xong đúng hạn","Xong trễ")),IF(J69="","Chưa có hạn",IF(J69&lt;TODAY(),"Quá hạn",IF(J69=TODAY(),"Đến hạn hôm nay",IF(J69-TODAY()&lt;=3,"Sắp đến hạn","Trong hạn"))))))</f>
        <v/>
      </c>
      <c r="Q69" s="9" t="str">
        <f aca="false">IF(OR(C69="",J69=""),"",WEEKNUM(J69,21))</f>
        <v/>
      </c>
      <c r="R69" s="2"/>
      <c r="S69" s="9" t="str">
        <f aca="true">IF(AND(C69&lt;&gt;"",K69&lt;&gt;"Hoàn thành",J69&lt;&gt;"",J69&lt;=TODAY()),MAX(S$5:S68)+1,"")</f>
        <v/>
      </c>
      <c r="T69" s="9" t="str">
        <f aca="false">IF(AND(C69&lt;&gt;"",IF(K69="","Chưa làm",K69)="Chưa làm"),MAX(T$5:T68)+1,"")</f>
        <v/>
      </c>
      <c r="U69" s="9" t="str">
        <f aca="false">IF(AND(C69&lt;&gt;"",IF(K69="","Chưa làm",K69)="Đang làm"),MAX(U$5:U68)+1,"")</f>
        <v/>
      </c>
      <c r="V69" s="9" t="str">
        <f aca="false">IF(AND(C69&lt;&gt;"",IF(K69="","Chưa làm",K69)="Chờ duyệt"),MAX(V$5:V68)+1,"")</f>
        <v/>
      </c>
      <c r="W69" s="9" t="str">
        <f aca="false">IF(AND(C69&lt;&gt;"",IF(K69="","Chưa làm",K69)="Hoàn thành"),MAX(W$5:W68)+1,"")</f>
        <v/>
      </c>
      <c r="X69" s="9" t="str">
        <f aca="false">IF(AND(C69&lt;&gt;"",K69&lt;&gt;"Hoàn thành",N69="1. Làm ngay"),MAX(X$5:X68)+1,"")</f>
        <v/>
      </c>
      <c r="Y69" s="9" t="str">
        <f aca="false">IF(AND(C69&lt;&gt;"",K69&lt;&gt;"Hoàn thành",N69="2. Lên lịch"),MAX(Y$5:Y68)+1,"")</f>
        <v/>
      </c>
      <c r="Z69" s="9" t="str">
        <f aca="false">IF(AND(C69&lt;&gt;"",K69&lt;&gt;"Hoàn thành",N69="3. Giao lại"),MAX(Z$5:Z68)+1,"")</f>
        <v/>
      </c>
      <c r="AA69" s="9" t="str">
        <f aca="false">IF(AND(C69&lt;&gt;"",K69&lt;&gt;"Hoàn thành",N69="4. Để sau"),MAX(AA$5:AA68)+1,"")</f>
        <v/>
      </c>
      <c r="AB69" s="9" t="str">
        <f aca="false">IF(AND(C69&lt;&gt;"",J69&lt;&gt;"",J69&gt;=TUAN!$C$3,J69&lt;=TUAN!$C$3+6),MAX(AB$5:AB68)+1,"")</f>
        <v/>
      </c>
    </row>
    <row r="70" customFormat="false" ht="15" hidden="false" customHeight="false" outlineLevel="0" collapsed="false">
      <c r="A70" s="9" t="str">
        <f aca="false">IF(C70="","","CV"&amp;TEXT(ROW()-5,"000"))</f>
        <v/>
      </c>
      <c r="B70" s="10"/>
      <c r="C70" s="11"/>
      <c r="D70" s="12"/>
      <c r="E70" s="12"/>
      <c r="F70" s="12"/>
      <c r="G70" s="12"/>
      <c r="H70" s="12"/>
      <c r="I70" s="12"/>
      <c r="J70" s="10"/>
      <c r="K70" s="12"/>
      <c r="L70" s="10"/>
      <c r="M70" s="12"/>
      <c r="N70" s="9" t="str">
        <f aca="false">IF(C70="","",IF(AND(H70="Có",I70="Có"),"1. Làm ngay",IF(H70="Có","2. Lên lịch",IF(I70="Có","3. Giao lại","4. Để sau"))))</f>
        <v/>
      </c>
      <c r="O70" s="9" t="str">
        <f aca="true">IF(OR(C70="",J70="",K70="Hoàn thành"),"",J70-TODAY())</f>
        <v/>
      </c>
      <c r="P70" s="9" t="str">
        <f aca="true">IF(C70="","",IF(K70="Hoàn thành",IF(OR(L70="",J70=""),"Xong (thiếu ngày)",IF(L70&lt;=J70,"Xong đúng hạn","Xong trễ")),IF(J70="","Chưa có hạn",IF(J70&lt;TODAY(),"Quá hạn",IF(J70=TODAY(),"Đến hạn hôm nay",IF(J70-TODAY()&lt;=3,"Sắp đến hạn","Trong hạn"))))))</f>
        <v/>
      </c>
      <c r="Q70" s="9" t="str">
        <f aca="false">IF(OR(C70="",J70=""),"",WEEKNUM(J70,21))</f>
        <v/>
      </c>
      <c r="R70" s="2"/>
      <c r="S70" s="9" t="str">
        <f aca="true">IF(AND(C70&lt;&gt;"",K70&lt;&gt;"Hoàn thành",J70&lt;&gt;"",J70&lt;=TODAY()),MAX(S$5:S69)+1,"")</f>
        <v/>
      </c>
      <c r="T70" s="9" t="str">
        <f aca="false">IF(AND(C70&lt;&gt;"",IF(K70="","Chưa làm",K70)="Chưa làm"),MAX(T$5:T69)+1,"")</f>
        <v/>
      </c>
      <c r="U70" s="9" t="str">
        <f aca="false">IF(AND(C70&lt;&gt;"",IF(K70="","Chưa làm",K70)="Đang làm"),MAX(U$5:U69)+1,"")</f>
        <v/>
      </c>
      <c r="V70" s="9" t="str">
        <f aca="false">IF(AND(C70&lt;&gt;"",IF(K70="","Chưa làm",K70)="Chờ duyệt"),MAX(V$5:V69)+1,"")</f>
        <v/>
      </c>
      <c r="W70" s="9" t="str">
        <f aca="false">IF(AND(C70&lt;&gt;"",IF(K70="","Chưa làm",K70)="Hoàn thành"),MAX(W$5:W69)+1,"")</f>
        <v/>
      </c>
      <c r="X70" s="9" t="str">
        <f aca="false">IF(AND(C70&lt;&gt;"",K70&lt;&gt;"Hoàn thành",N70="1. Làm ngay"),MAX(X$5:X69)+1,"")</f>
        <v/>
      </c>
      <c r="Y70" s="9" t="str">
        <f aca="false">IF(AND(C70&lt;&gt;"",K70&lt;&gt;"Hoàn thành",N70="2. Lên lịch"),MAX(Y$5:Y69)+1,"")</f>
        <v/>
      </c>
      <c r="Z70" s="9" t="str">
        <f aca="false">IF(AND(C70&lt;&gt;"",K70&lt;&gt;"Hoàn thành",N70="3. Giao lại"),MAX(Z$5:Z69)+1,"")</f>
        <v/>
      </c>
      <c r="AA70" s="9" t="str">
        <f aca="false">IF(AND(C70&lt;&gt;"",K70&lt;&gt;"Hoàn thành",N70="4. Để sau"),MAX(AA$5:AA69)+1,"")</f>
        <v/>
      </c>
      <c r="AB70" s="9" t="str">
        <f aca="false">IF(AND(C70&lt;&gt;"",J70&lt;&gt;"",J70&gt;=TUAN!$C$3,J70&lt;=TUAN!$C$3+6),MAX(AB$5:AB69)+1,"")</f>
        <v/>
      </c>
    </row>
    <row r="71" customFormat="false" ht="15" hidden="false" customHeight="false" outlineLevel="0" collapsed="false">
      <c r="A71" s="9" t="str">
        <f aca="false">IF(C71="","","CV"&amp;TEXT(ROW()-5,"000"))</f>
        <v/>
      </c>
      <c r="B71" s="10"/>
      <c r="C71" s="11"/>
      <c r="D71" s="12"/>
      <c r="E71" s="12"/>
      <c r="F71" s="12"/>
      <c r="G71" s="12"/>
      <c r="H71" s="12"/>
      <c r="I71" s="12"/>
      <c r="J71" s="10"/>
      <c r="K71" s="12"/>
      <c r="L71" s="10"/>
      <c r="M71" s="12"/>
      <c r="N71" s="9" t="str">
        <f aca="false">IF(C71="","",IF(AND(H71="Có",I71="Có"),"1. Làm ngay",IF(H71="Có","2. Lên lịch",IF(I71="Có","3. Giao lại","4. Để sau"))))</f>
        <v/>
      </c>
      <c r="O71" s="9" t="str">
        <f aca="true">IF(OR(C71="",J71="",K71="Hoàn thành"),"",J71-TODAY())</f>
        <v/>
      </c>
      <c r="P71" s="9" t="str">
        <f aca="true">IF(C71="","",IF(K71="Hoàn thành",IF(OR(L71="",J71=""),"Xong (thiếu ngày)",IF(L71&lt;=J71,"Xong đúng hạn","Xong trễ")),IF(J71="","Chưa có hạn",IF(J71&lt;TODAY(),"Quá hạn",IF(J71=TODAY(),"Đến hạn hôm nay",IF(J71-TODAY()&lt;=3,"Sắp đến hạn","Trong hạn"))))))</f>
        <v/>
      </c>
      <c r="Q71" s="9" t="str">
        <f aca="false">IF(OR(C71="",J71=""),"",WEEKNUM(J71,21))</f>
        <v/>
      </c>
      <c r="R71" s="2"/>
      <c r="S71" s="9" t="str">
        <f aca="true">IF(AND(C71&lt;&gt;"",K71&lt;&gt;"Hoàn thành",J71&lt;&gt;"",J71&lt;=TODAY()),MAX(S$5:S70)+1,"")</f>
        <v/>
      </c>
      <c r="T71" s="9" t="str">
        <f aca="false">IF(AND(C71&lt;&gt;"",IF(K71="","Chưa làm",K71)="Chưa làm"),MAX(T$5:T70)+1,"")</f>
        <v/>
      </c>
      <c r="U71" s="9" t="str">
        <f aca="false">IF(AND(C71&lt;&gt;"",IF(K71="","Chưa làm",K71)="Đang làm"),MAX(U$5:U70)+1,"")</f>
        <v/>
      </c>
      <c r="V71" s="9" t="str">
        <f aca="false">IF(AND(C71&lt;&gt;"",IF(K71="","Chưa làm",K71)="Chờ duyệt"),MAX(V$5:V70)+1,"")</f>
        <v/>
      </c>
      <c r="W71" s="9" t="str">
        <f aca="false">IF(AND(C71&lt;&gt;"",IF(K71="","Chưa làm",K71)="Hoàn thành"),MAX(W$5:W70)+1,"")</f>
        <v/>
      </c>
      <c r="X71" s="9" t="str">
        <f aca="false">IF(AND(C71&lt;&gt;"",K71&lt;&gt;"Hoàn thành",N71="1. Làm ngay"),MAX(X$5:X70)+1,"")</f>
        <v/>
      </c>
      <c r="Y71" s="9" t="str">
        <f aca="false">IF(AND(C71&lt;&gt;"",K71&lt;&gt;"Hoàn thành",N71="2. Lên lịch"),MAX(Y$5:Y70)+1,"")</f>
        <v/>
      </c>
      <c r="Z71" s="9" t="str">
        <f aca="false">IF(AND(C71&lt;&gt;"",K71&lt;&gt;"Hoàn thành",N71="3. Giao lại"),MAX(Z$5:Z70)+1,"")</f>
        <v/>
      </c>
      <c r="AA71" s="9" t="str">
        <f aca="false">IF(AND(C71&lt;&gt;"",K71&lt;&gt;"Hoàn thành",N71="4. Để sau"),MAX(AA$5:AA70)+1,"")</f>
        <v/>
      </c>
      <c r="AB71" s="9" t="str">
        <f aca="false">IF(AND(C71&lt;&gt;"",J71&lt;&gt;"",J71&gt;=TUAN!$C$3,J71&lt;=TUAN!$C$3+6),MAX(AB$5:AB70)+1,"")</f>
        <v/>
      </c>
    </row>
    <row r="72" customFormat="false" ht="15" hidden="false" customHeight="false" outlineLevel="0" collapsed="false">
      <c r="A72" s="9" t="str">
        <f aca="false">IF(C72="","","CV"&amp;TEXT(ROW()-5,"000"))</f>
        <v/>
      </c>
      <c r="B72" s="10"/>
      <c r="C72" s="11"/>
      <c r="D72" s="12"/>
      <c r="E72" s="12"/>
      <c r="F72" s="12"/>
      <c r="G72" s="12"/>
      <c r="H72" s="12"/>
      <c r="I72" s="12"/>
      <c r="J72" s="10"/>
      <c r="K72" s="12"/>
      <c r="L72" s="10"/>
      <c r="M72" s="12"/>
      <c r="N72" s="9" t="str">
        <f aca="false">IF(C72="","",IF(AND(H72="Có",I72="Có"),"1. Làm ngay",IF(H72="Có","2. Lên lịch",IF(I72="Có","3. Giao lại","4. Để sau"))))</f>
        <v/>
      </c>
      <c r="O72" s="9" t="str">
        <f aca="true">IF(OR(C72="",J72="",K72="Hoàn thành"),"",J72-TODAY())</f>
        <v/>
      </c>
      <c r="P72" s="9" t="str">
        <f aca="true">IF(C72="","",IF(K72="Hoàn thành",IF(OR(L72="",J72=""),"Xong (thiếu ngày)",IF(L72&lt;=J72,"Xong đúng hạn","Xong trễ")),IF(J72="","Chưa có hạn",IF(J72&lt;TODAY(),"Quá hạn",IF(J72=TODAY(),"Đến hạn hôm nay",IF(J72-TODAY()&lt;=3,"Sắp đến hạn","Trong hạn"))))))</f>
        <v/>
      </c>
      <c r="Q72" s="9" t="str">
        <f aca="false">IF(OR(C72="",J72=""),"",WEEKNUM(J72,21))</f>
        <v/>
      </c>
      <c r="R72" s="2"/>
      <c r="S72" s="9" t="str">
        <f aca="true">IF(AND(C72&lt;&gt;"",K72&lt;&gt;"Hoàn thành",J72&lt;&gt;"",J72&lt;=TODAY()),MAX(S$5:S71)+1,"")</f>
        <v/>
      </c>
      <c r="T72" s="9" t="str">
        <f aca="false">IF(AND(C72&lt;&gt;"",IF(K72="","Chưa làm",K72)="Chưa làm"),MAX(T$5:T71)+1,"")</f>
        <v/>
      </c>
      <c r="U72" s="9" t="str">
        <f aca="false">IF(AND(C72&lt;&gt;"",IF(K72="","Chưa làm",K72)="Đang làm"),MAX(U$5:U71)+1,"")</f>
        <v/>
      </c>
      <c r="V72" s="9" t="str">
        <f aca="false">IF(AND(C72&lt;&gt;"",IF(K72="","Chưa làm",K72)="Chờ duyệt"),MAX(V$5:V71)+1,"")</f>
        <v/>
      </c>
      <c r="W72" s="9" t="str">
        <f aca="false">IF(AND(C72&lt;&gt;"",IF(K72="","Chưa làm",K72)="Hoàn thành"),MAX(W$5:W71)+1,"")</f>
        <v/>
      </c>
      <c r="X72" s="9" t="str">
        <f aca="false">IF(AND(C72&lt;&gt;"",K72&lt;&gt;"Hoàn thành",N72="1. Làm ngay"),MAX(X$5:X71)+1,"")</f>
        <v/>
      </c>
      <c r="Y72" s="9" t="str">
        <f aca="false">IF(AND(C72&lt;&gt;"",K72&lt;&gt;"Hoàn thành",N72="2. Lên lịch"),MAX(Y$5:Y71)+1,"")</f>
        <v/>
      </c>
      <c r="Z72" s="9" t="str">
        <f aca="false">IF(AND(C72&lt;&gt;"",K72&lt;&gt;"Hoàn thành",N72="3. Giao lại"),MAX(Z$5:Z71)+1,"")</f>
        <v/>
      </c>
      <c r="AA72" s="9" t="str">
        <f aca="false">IF(AND(C72&lt;&gt;"",K72&lt;&gt;"Hoàn thành",N72="4. Để sau"),MAX(AA$5:AA71)+1,"")</f>
        <v/>
      </c>
      <c r="AB72" s="9" t="str">
        <f aca="false">IF(AND(C72&lt;&gt;"",J72&lt;&gt;"",J72&gt;=TUAN!$C$3,J72&lt;=TUAN!$C$3+6),MAX(AB$5:AB71)+1,"")</f>
        <v/>
      </c>
    </row>
    <row r="73" customFormat="false" ht="15" hidden="false" customHeight="false" outlineLevel="0" collapsed="false">
      <c r="A73" s="9" t="str">
        <f aca="false">IF(C73="","","CV"&amp;TEXT(ROW()-5,"000"))</f>
        <v/>
      </c>
      <c r="B73" s="10"/>
      <c r="C73" s="11"/>
      <c r="D73" s="12"/>
      <c r="E73" s="12"/>
      <c r="F73" s="12"/>
      <c r="G73" s="12"/>
      <c r="H73" s="12"/>
      <c r="I73" s="12"/>
      <c r="J73" s="10"/>
      <c r="K73" s="12"/>
      <c r="L73" s="10"/>
      <c r="M73" s="12"/>
      <c r="N73" s="9" t="str">
        <f aca="false">IF(C73="","",IF(AND(H73="Có",I73="Có"),"1. Làm ngay",IF(H73="Có","2. Lên lịch",IF(I73="Có","3. Giao lại","4. Để sau"))))</f>
        <v/>
      </c>
      <c r="O73" s="9" t="str">
        <f aca="true">IF(OR(C73="",J73="",K73="Hoàn thành"),"",J73-TODAY())</f>
        <v/>
      </c>
      <c r="P73" s="9" t="str">
        <f aca="true">IF(C73="","",IF(K73="Hoàn thành",IF(OR(L73="",J73=""),"Xong (thiếu ngày)",IF(L73&lt;=J73,"Xong đúng hạn","Xong trễ")),IF(J73="","Chưa có hạn",IF(J73&lt;TODAY(),"Quá hạn",IF(J73=TODAY(),"Đến hạn hôm nay",IF(J73-TODAY()&lt;=3,"Sắp đến hạn","Trong hạn"))))))</f>
        <v/>
      </c>
      <c r="Q73" s="9" t="str">
        <f aca="false">IF(OR(C73="",J73=""),"",WEEKNUM(J73,21))</f>
        <v/>
      </c>
      <c r="R73" s="2"/>
      <c r="S73" s="9" t="str">
        <f aca="true">IF(AND(C73&lt;&gt;"",K73&lt;&gt;"Hoàn thành",J73&lt;&gt;"",J73&lt;=TODAY()),MAX(S$5:S72)+1,"")</f>
        <v/>
      </c>
      <c r="T73" s="9" t="str">
        <f aca="false">IF(AND(C73&lt;&gt;"",IF(K73="","Chưa làm",K73)="Chưa làm"),MAX(T$5:T72)+1,"")</f>
        <v/>
      </c>
      <c r="U73" s="9" t="str">
        <f aca="false">IF(AND(C73&lt;&gt;"",IF(K73="","Chưa làm",K73)="Đang làm"),MAX(U$5:U72)+1,"")</f>
        <v/>
      </c>
      <c r="V73" s="9" t="str">
        <f aca="false">IF(AND(C73&lt;&gt;"",IF(K73="","Chưa làm",K73)="Chờ duyệt"),MAX(V$5:V72)+1,"")</f>
        <v/>
      </c>
      <c r="W73" s="9" t="str">
        <f aca="false">IF(AND(C73&lt;&gt;"",IF(K73="","Chưa làm",K73)="Hoàn thành"),MAX(W$5:W72)+1,"")</f>
        <v/>
      </c>
      <c r="X73" s="9" t="str">
        <f aca="false">IF(AND(C73&lt;&gt;"",K73&lt;&gt;"Hoàn thành",N73="1. Làm ngay"),MAX(X$5:X72)+1,"")</f>
        <v/>
      </c>
      <c r="Y73" s="9" t="str">
        <f aca="false">IF(AND(C73&lt;&gt;"",K73&lt;&gt;"Hoàn thành",N73="2. Lên lịch"),MAX(Y$5:Y72)+1,"")</f>
        <v/>
      </c>
      <c r="Z73" s="9" t="str">
        <f aca="false">IF(AND(C73&lt;&gt;"",K73&lt;&gt;"Hoàn thành",N73="3. Giao lại"),MAX(Z$5:Z72)+1,"")</f>
        <v/>
      </c>
      <c r="AA73" s="9" t="str">
        <f aca="false">IF(AND(C73&lt;&gt;"",K73&lt;&gt;"Hoàn thành",N73="4. Để sau"),MAX(AA$5:AA72)+1,"")</f>
        <v/>
      </c>
      <c r="AB73" s="9" t="str">
        <f aca="false">IF(AND(C73&lt;&gt;"",J73&lt;&gt;"",J73&gt;=TUAN!$C$3,J73&lt;=TUAN!$C$3+6),MAX(AB$5:AB72)+1,"")</f>
        <v/>
      </c>
    </row>
    <row r="74" customFormat="false" ht="15" hidden="false" customHeight="false" outlineLevel="0" collapsed="false">
      <c r="A74" s="9" t="str">
        <f aca="false">IF(C74="","","CV"&amp;TEXT(ROW()-5,"000"))</f>
        <v/>
      </c>
      <c r="B74" s="10"/>
      <c r="C74" s="11"/>
      <c r="D74" s="12"/>
      <c r="E74" s="12"/>
      <c r="F74" s="12"/>
      <c r="G74" s="12"/>
      <c r="H74" s="12"/>
      <c r="I74" s="12"/>
      <c r="J74" s="10"/>
      <c r="K74" s="12"/>
      <c r="L74" s="10"/>
      <c r="M74" s="12"/>
      <c r="N74" s="9" t="str">
        <f aca="false">IF(C74="","",IF(AND(H74="Có",I74="Có"),"1. Làm ngay",IF(H74="Có","2. Lên lịch",IF(I74="Có","3. Giao lại","4. Để sau"))))</f>
        <v/>
      </c>
      <c r="O74" s="9" t="str">
        <f aca="true">IF(OR(C74="",J74="",K74="Hoàn thành"),"",J74-TODAY())</f>
        <v/>
      </c>
      <c r="P74" s="9" t="str">
        <f aca="true">IF(C74="","",IF(K74="Hoàn thành",IF(OR(L74="",J74=""),"Xong (thiếu ngày)",IF(L74&lt;=J74,"Xong đúng hạn","Xong trễ")),IF(J74="","Chưa có hạn",IF(J74&lt;TODAY(),"Quá hạn",IF(J74=TODAY(),"Đến hạn hôm nay",IF(J74-TODAY()&lt;=3,"Sắp đến hạn","Trong hạn"))))))</f>
        <v/>
      </c>
      <c r="Q74" s="9" t="str">
        <f aca="false">IF(OR(C74="",J74=""),"",WEEKNUM(J74,21))</f>
        <v/>
      </c>
      <c r="R74" s="2"/>
      <c r="S74" s="9" t="str">
        <f aca="true">IF(AND(C74&lt;&gt;"",K74&lt;&gt;"Hoàn thành",J74&lt;&gt;"",J74&lt;=TODAY()),MAX(S$5:S73)+1,"")</f>
        <v/>
      </c>
      <c r="T74" s="9" t="str">
        <f aca="false">IF(AND(C74&lt;&gt;"",IF(K74="","Chưa làm",K74)="Chưa làm"),MAX(T$5:T73)+1,"")</f>
        <v/>
      </c>
      <c r="U74" s="9" t="str">
        <f aca="false">IF(AND(C74&lt;&gt;"",IF(K74="","Chưa làm",K74)="Đang làm"),MAX(U$5:U73)+1,"")</f>
        <v/>
      </c>
      <c r="V74" s="9" t="str">
        <f aca="false">IF(AND(C74&lt;&gt;"",IF(K74="","Chưa làm",K74)="Chờ duyệt"),MAX(V$5:V73)+1,"")</f>
        <v/>
      </c>
      <c r="W74" s="9" t="str">
        <f aca="false">IF(AND(C74&lt;&gt;"",IF(K74="","Chưa làm",K74)="Hoàn thành"),MAX(W$5:W73)+1,"")</f>
        <v/>
      </c>
      <c r="X74" s="9" t="str">
        <f aca="false">IF(AND(C74&lt;&gt;"",K74&lt;&gt;"Hoàn thành",N74="1. Làm ngay"),MAX(X$5:X73)+1,"")</f>
        <v/>
      </c>
      <c r="Y74" s="9" t="str">
        <f aca="false">IF(AND(C74&lt;&gt;"",K74&lt;&gt;"Hoàn thành",N74="2. Lên lịch"),MAX(Y$5:Y73)+1,"")</f>
        <v/>
      </c>
      <c r="Z74" s="9" t="str">
        <f aca="false">IF(AND(C74&lt;&gt;"",K74&lt;&gt;"Hoàn thành",N74="3. Giao lại"),MAX(Z$5:Z73)+1,"")</f>
        <v/>
      </c>
      <c r="AA74" s="9" t="str">
        <f aca="false">IF(AND(C74&lt;&gt;"",K74&lt;&gt;"Hoàn thành",N74="4. Để sau"),MAX(AA$5:AA73)+1,"")</f>
        <v/>
      </c>
      <c r="AB74" s="9" t="str">
        <f aca="false">IF(AND(C74&lt;&gt;"",J74&lt;&gt;"",J74&gt;=TUAN!$C$3,J74&lt;=TUAN!$C$3+6),MAX(AB$5:AB73)+1,"")</f>
        <v/>
      </c>
    </row>
    <row r="75" customFormat="false" ht="15" hidden="false" customHeight="false" outlineLevel="0" collapsed="false">
      <c r="A75" s="9" t="str">
        <f aca="false">IF(C75="","","CV"&amp;TEXT(ROW()-5,"000"))</f>
        <v/>
      </c>
      <c r="B75" s="10"/>
      <c r="C75" s="11"/>
      <c r="D75" s="12"/>
      <c r="E75" s="12"/>
      <c r="F75" s="12"/>
      <c r="G75" s="12"/>
      <c r="H75" s="12"/>
      <c r="I75" s="12"/>
      <c r="J75" s="10"/>
      <c r="K75" s="12"/>
      <c r="L75" s="10"/>
      <c r="M75" s="12"/>
      <c r="N75" s="9" t="str">
        <f aca="false">IF(C75="","",IF(AND(H75="Có",I75="Có"),"1. Làm ngay",IF(H75="Có","2. Lên lịch",IF(I75="Có","3. Giao lại","4. Để sau"))))</f>
        <v/>
      </c>
      <c r="O75" s="9" t="str">
        <f aca="true">IF(OR(C75="",J75="",K75="Hoàn thành"),"",J75-TODAY())</f>
        <v/>
      </c>
      <c r="P75" s="9" t="str">
        <f aca="true">IF(C75="","",IF(K75="Hoàn thành",IF(OR(L75="",J75=""),"Xong (thiếu ngày)",IF(L75&lt;=J75,"Xong đúng hạn","Xong trễ")),IF(J75="","Chưa có hạn",IF(J75&lt;TODAY(),"Quá hạn",IF(J75=TODAY(),"Đến hạn hôm nay",IF(J75-TODAY()&lt;=3,"Sắp đến hạn","Trong hạn"))))))</f>
        <v/>
      </c>
      <c r="Q75" s="9" t="str">
        <f aca="false">IF(OR(C75="",J75=""),"",WEEKNUM(J75,21))</f>
        <v/>
      </c>
      <c r="R75" s="2"/>
      <c r="S75" s="9" t="str">
        <f aca="true">IF(AND(C75&lt;&gt;"",K75&lt;&gt;"Hoàn thành",J75&lt;&gt;"",J75&lt;=TODAY()),MAX(S$5:S74)+1,"")</f>
        <v/>
      </c>
      <c r="T75" s="9" t="str">
        <f aca="false">IF(AND(C75&lt;&gt;"",IF(K75="","Chưa làm",K75)="Chưa làm"),MAX(T$5:T74)+1,"")</f>
        <v/>
      </c>
      <c r="U75" s="9" t="str">
        <f aca="false">IF(AND(C75&lt;&gt;"",IF(K75="","Chưa làm",K75)="Đang làm"),MAX(U$5:U74)+1,"")</f>
        <v/>
      </c>
      <c r="V75" s="9" t="str">
        <f aca="false">IF(AND(C75&lt;&gt;"",IF(K75="","Chưa làm",K75)="Chờ duyệt"),MAX(V$5:V74)+1,"")</f>
        <v/>
      </c>
      <c r="W75" s="9" t="str">
        <f aca="false">IF(AND(C75&lt;&gt;"",IF(K75="","Chưa làm",K75)="Hoàn thành"),MAX(W$5:W74)+1,"")</f>
        <v/>
      </c>
      <c r="X75" s="9" t="str">
        <f aca="false">IF(AND(C75&lt;&gt;"",K75&lt;&gt;"Hoàn thành",N75="1. Làm ngay"),MAX(X$5:X74)+1,"")</f>
        <v/>
      </c>
      <c r="Y75" s="9" t="str">
        <f aca="false">IF(AND(C75&lt;&gt;"",K75&lt;&gt;"Hoàn thành",N75="2. Lên lịch"),MAX(Y$5:Y74)+1,"")</f>
        <v/>
      </c>
      <c r="Z75" s="9" t="str">
        <f aca="false">IF(AND(C75&lt;&gt;"",K75&lt;&gt;"Hoàn thành",N75="3. Giao lại"),MAX(Z$5:Z74)+1,"")</f>
        <v/>
      </c>
      <c r="AA75" s="9" t="str">
        <f aca="false">IF(AND(C75&lt;&gt;"",K75&lt;&gt;"Hoàn thành",N75="4. Để sau"),MAX(AA$5:AA74)+1,"")</f>
        <v/>
      </c>
      <c r="AB75" s="9" t="str">
        <f aca="false">IF(AND(C75&lt;&gt;"",J75&lt;&gt;"",J75&gt;=TUAN!$C$3,J75&lt;=TUAN!$C$3+6),MAX(AB$5:AB74)+1,"")</f>
        <v/>
      </c>
    </row>
    <row r="76" customFormat="false" ht="15" hidden="false" customHeight="false" outlineLevel="0" collapsed="false">
      <c r="A76" s="9" t="str">
        <f aca="false">IF(C76="","","CV"&amp;TEXT(ROW()-5,"000"))</f>
        <v/>
      </c>
      <c r="B76" s="10"/>
      <c r="C76" s="11"/>
      <c r="D76" s="12"/>
      <c r="E76" s="12"/>
      <c r="F76" s="12"/>
      <c r="G76" s="12"/>
      <c r="H76" s="12"/>
      <c r="I76" s="12"/>
      <c r="J76" s="10"/>
      <c r="K76" s="12"/>
      <c r="L76" s="10"/>
      <c r="M76" s="12"/>
      <c r="N76" s="9" t="str">
        <f aca="false">IF(C76="","",IF(AND(H76="Có",I76="Có"),"1. Làm ngay",IF(H76="Có","2. Lên lịch",IF(I76="Có","3. Giao lại","4. Để sau"))))</f>
        <v/>
      </c>
      <c r="O76" s="9" t="str">
        <f aca="true">IF(OR(C76="",J76="",K76="Hoàn thành"),"",J76-TODAY())</f>
        <v/>
      </c>
      <c r="P76" s="9" t="str">
        <f aca="true">IF(C76="","",IF(K76="Hoàn thành",IF(OR(L76="",J76=""),"Xong (thiếu ngày)",IF(L76&lt;=J76,"Xong đúng hạn","Xong trễ")),IF(J76="","Chưa có hạn",IF(J76&lt;TODAY(),"Quá hạn",IF(J76=TODAY(),"Đến hạn hôm nay",IF(J76-TODAY()&lt;=3,"Sắp đến hạn","Trong hạn"))))))</f>
        <v/>
      </c>
      <c r="Q76" s="9" t="str">
        <f aca="false">IF(OR(C76="",J76=""),"",WEEKNUM(J76,21))</f>
        <v/>
      </c>
      <c r="R76" s="2"/>
      <c r="S76" s="9" t="str">
        <f aca="true">IF(AND(C76&lt;&gt;"",K76&lt;&gt;"Hoàn thành",J76&lt;&gt;"",J76&lt;=TODAY()),MAX(S$5:S75)+1,"")</f>
        <v/>
      </c>
      <c r="T76" s="9" t="str">
        <f aca="false">IF(AND(C76&lt;&gt;"",IF(K76="","Chưa làm",K76)="Chưa làm"),MAX(T$5:T75)+1,"")</f>
        <v/>
      </c>
      <c r="U76" s="9" t="str">
        <f aca="false">IF(AND(C76&lt;&gt;"",IF(K76="","Chưa làm",K76)="Đang làm"),MAX(U$5:U75)+1,"")</f>
        <v/>
      </c>
      <c r="V76" s="9" t="str">
        <f aca="false">IF(AND(C76&lt;&gt;"",IF(K76="","Chưa làm",K76)="Chờ duyệt"),MAX(V$5:V75)+1,"")</f>
        <v/>
      </c>
      <c r="W76" s="9" t="str">
        <f aca="false">IF(AND(C76&lt;&gt;"",IF(K76="","Chưa làm",K76)="Hoàn thành"),MAX(W$5:W75)+1,"")</f>
        <v/>
      </c>
      <c r="X76" s="9" t="str">
        <f aca="false">IF(AND(C76&lt;&gt;"",K76&lt;&gt;"Hoàn thành",N76="1. Làm ngay"),MAX(X$5:X75)+1,"")</f>
        <v/>
      </c>
      <c r="Y76" s="9" t="str">
        <f aca="false">IF(AND(C76&lt;&gt;"",K76&lt;&gt;"Hoàn thành",N76="2. Lên lịch"),MAX(Y$5:Y75)+1,"")</f>
        <v/>
      </c>
      <c r="Z76" s="9" t="str">
        <f aca="false">IF(AND(C76&lt;&gt;"",K76&lt;&gt;"Hoàn thành",N76="3. Giao lại"),MAX(Z$5:Z75)+1,"")</f>
        <v/>
      </c>
      <c r="AA76" s="9" t="str">
        <f aca="false">IF(AND(C76&lt;&gt;"",K76&lt;&gt;"Hoàn thành",N76="4. Để sau"),MAX(AA$5:AA75)+1,"")</f>
        <v/>
      </c>
      <c r="AB76" s="9" t="str">
        <f aca="false">IF(AND(C76&lt;&gt;"",J76&lt;&gt;"",J76&gt;=TUAN!$C$3,J76&lt;=TUAN!$C$3+6),MAX(AB$5:AB75)+1,"")</f>
        <v/>
      </c>
    </row>
    <row r="77" customFormat="false" ht="15" hidden="false" customHeight="false" outlineLevel="0" collapsed="false">
      <c r="A77" s="9" t="str">
        <f aca="false">IF(C77="","","CV"&amp;TEXT(ROW()-5,"000"))</f>
        <v/>
      </c>
      <c r="B77" s="10"/>
      <c r="C77" s="11"/>
      <c r="D77" s="12"/>
      <c r="E77" s="12"/>
      <c r="F77" s="12"/>
      <c r="G77" s="12"/>
      <c r="H77" s="12"/>
      <c r="I77" s="12"/>
      <c r="J77" s="10"/>
      <c r="K77" s="12"/>
      <c r="L77" s="10"/>
      <c r="M77" s="12"/>
      <c r="N77" s="9" t="str">
        <f aca="false">IF(C77="","",IF(AND(H77="Có",I77="Có"),"1. Làm ngay",IF(H77="Có","2. Lên lịch",IF(I77="Có","3. Giao lại","4. Để sau"))))</f>
        <v/>
      </c>
      <c r="O77" s="9" t="str">
        <f aca="true">IF(OR(C77="",J77="",K77="Hoàn thành"),"",J77-TODAY())</f>
        <v/>
      </c>
      <c r="P77" s="9" t="str">
        <f aca="true">IF(C77="","",IF(K77="Hoàn thành",IF(OR(L77="",J77=""),"Xong (thiếu ngày)",IF(L77&lt;=J77,"Xong đúng hạn","Xong trễ")),IF(J77="","Chưa có hạn",IF(J77&lt;TODAY(),"Quá hạn",IF(J77=TODAY(),"Đến hạn hôm nay",IF(J77-TODAY()&lt;=3,"Sắp đến hạn","Trong hạn"))))))</f>
        <v/>
      </c>
      <c r="Q77" s="9" t="str">
        <f aca="false">IF(OR(C77="",J77=""),"",WEEKNUM(J77,21))</f>
        <v/>
      </c>
      <c r="R77" s="2"/>
      <c r="S77" s="9" t="str">
        <f aca="true">IF(AND(C77&lt;&gt;"",K77&lt;&gt;"Hoàn thành",J77&lt;&gt;"",J77&lt;=TODAY()),MAX(S$5:S76)+1,"")</f>
        <v/>
      </c>
      <c r="T77" s="9" t="str">
        <f aca="false">IF(AND(C77&lt;&gt;"",IF(K77="","Chưa làm",K77)="Chưa làm"),MAX(T$5:T76)+1,"")</f>
        <v/>
      </c>
      <c r="U77" s="9" t="str">
        <f aca="false">IF(AND(C77&lt;&gt;"",IF(K77="","Chưa làm",K77)="Đang làm"),MAX(U$5:U76)+1,"")</f>
        <v/>
      </c>
      <c r="V77" s="9" t="str">
        <f aca="false">IF(AND(C77&lt;&gt;"",IF(K77="","Chưa làm",K77)="Chờ duyệt"),MAX(V$5:V76)+1,"")</f>
        <v/>
      </c>
      <c r="W77" s="9" t="str">
        <f aca="false">IF(AND(C77&lt;&gt;"",IF(K77="","Chưa làm",K77)="Hoàn thành"),MAX(W$5:W76)+1,"")</f>
        <v/>
      </c>
      <c r="X77" s="9" t="str">
        <f aca="false">IF(AND(C77&lt;&gt;"",K77&lt;&gt;"Hoàn thành",N77="1. Làm ngay"),MAX(X$5:X76)+1,"")</f>
        <v/>
      </c>
      <c r="Y77" s="9" t="str">
        <f aca="false">IF(AND(C77&lt;&gt;"",K77&lt;&gt;"Hoàn thành",N77="2. Lên lịch"),MAX(Y$5:Y76)+1,"")</f>
        <v/>
      </c>
      <c r="Z77" s="9" t="str">
        <f aca="false">IF(AND(C77&lt;&gt;"",K77&lt;&gt;"Hoàn thành",N77="3. Giao lại"),MAX(Z$5:Z76)+1,"")</f>
        <v/>
      </c>
      <c r="AA77" s="9" t="str">
        <f aca="false">IF(AND(C77&lt;&gt;"",K77&lt;&gt;"Hoàn thành",N77="4. Để sau"),MAX(AA$5:AA76)+1,"")</f>
        <v/>
      </c>
      <c r="AB77" s="9" t="str">
        <f aca="false">IF(AND(C77&lt;&gt;"",J77&lt;&gt;"",J77&gt;=TUAN!$C$3,J77&lt;=TUAN!$C$3+6),MAX(AB$5:AB76)+1,"")</f>
        <v/>
      </c>
    </row>
    <row r="78" customFormat="false" ht="15" hidden="false" customHeight="false" outlineLevel="0" collapsed="false">
      <c r="A78" s="9" t="str">
        <f aca="false">IF(C78="","","CV"&amp;TEXT(ROW()-5,"000"))</f>
        <v/>
      </c>
      <c r="B78" s="10"/>
      <c r="C78" s="11"/>
      <c r="D78" s="12"/>
      <c r="E78" s="12"/>
      <c r="F78" s="12"/>
      <c r="G78" s="12"/>
      <c r="H78" s="12"/>
      <c r="I78" s="12"/>
      <c r="J78" s="10"/>
      <c r="K78" s="12"/>
      <c r="L78" s="10"/>
      <c r="M78" s="12"/>
      <c r="N78" s="9" t="str">
        <f aca="false">IF(C78="","",IF(AND(H78="Có",I78="Có"),"1. Làm ngay",IF(H78="Có","2. Lên lịch",IF(I78="Có","3. Giao lại","4. Để sau"))))</f>
        <v/>
      </c>
      <c r="O78" s="9" t="str">
        <f aca="true">IF(OR(C78="",J78="",K78="Hoàn thành"),"",J78-TODAY())</f>
        <v/>
      </c>
      <c r="P78" s="9" t="str">
        <f aca="true">IF(C78="","",IF(K78="Hoàn thành",IF(OR(L78="",J78=""),"Xong (thiếu ngày)",IF(L78&lt;=J78,"Xong đúng hạn","Xong trễ")),IF(J78="","Chưa có hạn",IF(J78&lt;TODAY(),"Quá hạn",IF(J78=TODAY(),"Đến hạn hôm nay",IF(J78-TODAY()&lt;=3,"Sắp đến hạn","Trong hạn"))))))</f>
        <v/>
      </c>
      <c r="Q78" s="9" t="str">
        <f aca="false">IF(OR(C78="",J78=""),"",WEEKNUM(J78,21))</f>
        <v/>
      </c>
      <c r="R78" s="2"/>
      <c r="S78" s="9" t="str">
        <f aca="true">IF(AND(C78&lt;&gt;"",K78&lt;&gt;"Hoàn thành",J78&lt;&gt;"",J78&lt;=TODAY()),MAX(S$5:S77)+1,"")</f>
        <v/>
      </c>
      <c r="T78" s="9" t="str">
        <f aca="false">IF(AND(C78&lt;&gt;"",IF(K78="","Chưa làm",K78)="Chưa làm"),MAX(T$5:T77)+1,"")</f>
        <v/>
      </c>
      <c r="U78" s="9" t="str">
        <f aca="false">IF(AND(C78&lt;&gt;"",IF(K78="","Chưa làm",K78)="Đang làm"),MAX(U$5:U77)+1,"")</f>
        <v/>
      </c>
      <c r="V78" s="9" t="str">
        <f aca="false">IF(AND(C78&lt;&gt;"",IF(K78="","Chưa làm",K78)="Chờ duyệt"),MAX(V$5:V77)+1,"")</f>
        <v/>
      </c>
      <c r="W78" s="9" t="str">
        <f aca="false">IF(AND(C78&lt;&gt;"",IF(K78="","Chưa làm",K78)="Hoàn thành"),MAX(W$5:W77)+1,"")</f>
        <v/>
      </c>
      <c r="X78" s="9" t="str">
        <f aca="false">IF(AND(C78&lt;&gt;"",K78&lt;&gt;"Hoàn thành",N78="1. Làm ngay"),MAX(X$5:X77)+1,"")</f>
        <v/>
      </c>
      <c r="Y78" s="9" t="str">
        <f aca="false">IF(AND(C78&lt;&gt;"",K78&lt;&gt;"Hoàn thành",N78="2. Lên lịch"),MAX(Y$5:Y77)+1,"")</f>
        <v/>
      </c>
      <c r="Z78" s="9" t="str">
        <f aca="false">IF(AND(C78&lt;&gt;"",K78&lt;&gt;"Hoàn thành",N78="3. Giao lại"),MAX(Z$5:Z77)+1,"")</f>
        <v/>
      </c>
      <c r="AA78" s="9" t="str">
        <f aca="false">IF(AND(C78&lt;&gt;"",K78&lt;&gt;"Hoàn thành",N78="4. Để sau"),MAX(AA$5:AA77)+1,"")</f>
        <v/>
      </c>
      <c r="AB78" s="9" t="str">
        <f aca="false">IF(AND(C78&lt;&gt;"",J78&lt;&gt;"",J78&gt;=TUAN!$C$3,J78&lt;=TUAN!$C$3+6),MAX(AB$5:AB77)+1,"")</f>
        <v/>
      </c>
    </row>
    <row r="79" customFormat="false" ht="15" hidden="false" customHeight="false" outlineLevel="0" collapsed="false">
      <c r="A79" s="9" t="str">
        <f aca="false">IF(C79="","","CV"&amp;TEXT(ROW()-5,"000"))</f>
        <v/>
      </c>
      <c r="B79" s="10"/>
      <c r="C79" s="11"/>
      <c r="D79" s="12"/>
      <c r="E79" s="12"/>
      <c r="F79" s="12"/>
      <c r="G79" s="12"/>
      <c r="H79" s="12"/>
      <c r="I79" s="12"/>
      <c r="J79" s="10"/>
      <c r="K79" s="12"/>
      <c r="L79" s="10"/>
      <c r="M79" s="12"/>
      <c r="N79" s="9" t="str">
        <f aca="false">IF(C79="","",IF(AND(H79="Có",I79="Có"),"1. Làm ngay",IF(H79="Có","2. Lên lịch",IF(I79="Có","3. Giao lại","4. Để sau"))))</f>
        <v/>
      </c>
      <c r="O79" s="9" t="str">
        <f aca="true">IF(OR(C79="",J79="",K79="Hoàn thành"),"",J79-TODAY())</f>
        <v/>
      </c>
      <c r="P79" s="9" t="str">
        <f aca="true">IF(C79="","",IF(K79="Hoàn thành",IF(OR(L79="",J79=""),"Xong (thiếu ngày)",IF(L79&lt;=J79,"Xong đúng hạn","Xong trễ")),IF(J79="","Chưa có hạn",IF(J79&lt;TODAY(),"Quá hạn",IF(J79=TODAY(),"Đến hạn hôm nay",IF(J79-TODAY()&lt;=3,"Sắp đến hạn","Trong hạn"))))))</f>
        <v/>
      </c>
      <c r="Q79" s="9" t="str">
        <f aca="false">IF(OR(C79="",J79=""),"",WEEKNUM(J79,21))</f>
        <v/>
      </c>
      <c r="R79" s="2"/>
      <c r="S79" s="9" t="str">
        <f aca="true">IF(AND(C79&lt;&gt;"",K79&lt;&gt;"Hoàn thành",J79&lt;&gt;"",J79&lt;=TODAY()),MAX(S$5:S78)+1,"")</f>
        <v/>
      </c>
      <c r="T79" s="9" t="str">
        <f aca="false">IF(AND(C79&lt;&gt;"",IF(K79="","Chưa làm",K79)="Chưa làm"),MAX(T$5:T78)+1,"")</f>
        <v/>
      </c>
      <c r="U79" s="9" t="str">
        <f aca="false">IF(AND(C79&lt;&gt;"",IF(K79="","Chưa làm",K79)="Đang làm"),MAX(U$5:U78)+1,"")</f>
        <v/>
      </c>
      <c r="V79" s="9" t="str">
        <f aca="false">IF(AND(C79&lt;&gt;"",IF(K79="","Chưa làm",K79)="Chờ duyệt"),MAX(V$5:V78)+1,"")</f>
        <v/>
      </c>
      <c r="W79" s="9" t="str">
        <f aca="false">IF(AND(C79&lt;&gt;"",IF(K79="","Chưa làm",K79)="Hoàn thành"),MAX(W$5:W78)+1,"")</f>
        <v/>
      </c>
      <c r="X79" s="9" t="str">
        <f aca="false">IF(AND(C79&lt;&gt;"",K79&lt;&gt;"Hoàn thành",N79="1. Làm ngay"),MAX(X$5:X78)+1,"")</f>
        <v/>
      </c>
      <c r="Y79" s="9" t="str">
        <f aca="false">IF(AND(C79&lt;&gt;"",K79&lt;&gt;"Hoàn thành",N79="2. Lên lịch"),MAX(Y$5:Y78)+1,"")</f>
        <v/>
      </c>
      <c r="Z79" s="9" t="str">
        <f aca="false">IF(AND(C79&lt;&gt;"",K79&lt;&gt;"Hoàn thành",N79="3. Giao lại"),MAX(Z$5:Z78)+1,"")</f>
        <v/>
      </c>
      <c r="AA79" s="9" t="str">
        <f aca="false">IF(AND(C79&lt;&gt;"",K79&lt;&gt;"Hoàn thành",N79="4. Để sau"),MAX(AA$5:AA78)+1,"")</f>
        <v/>
      </c>
      <c r="AB79" s="9" t="str">
        <f aca="false">IF(AND(C79&lt;&gt;"",J79&lt;&gt;"",J79&gt;=TUAN!$C$3,J79&lt;=TUAN!$C$3+6),MAX(AB$5:AB78)+1,"")</f>
        <v/>
      </c>
    </row>
    <row r="80" customFormat="false" ht="15" hidden="false" customHeight="false" outlineLevel="0" collapsed="false">
      <c r="A80" s="9" t="str">
        <f aca="false">IF(C80="","","CV"&amp;TEXT(ROW()-5,"000"))</f>
        <v/>
      </c>
      <c r="B80" s="10"/>
      <c r="C80" s="11"/>
      <c r="D80" s="12"/>
      <c r="E80" s="12"/>
      <c r="F80" s="12"/>
      <c r="G80" s="12"/>
      <c r="H80" s="12"/>
      <c r="I80" s="12"/>
      <c r="J80" s="10"/>
      <c r="K80" s="12"/>
      <c r="L80" s="10"/>
      <c r="M80" s="12"/>
      <c r="N80" s="9" t="str">
        <f aca="false">IF(C80="","",IF(AND(H80="Có",I80="Có"),"1. Làm ngay",IF(H80="Có","2. Lên lịch",IF(I80="Có","3. Giao lại","4. Để sau"))))</f>
        <v/>
      </c>
      <c r="O80" s="9" t="str">
        <f aca="true">IF(OR(C80="",J80="",K80="Hoàn thành"),"",J80-TODAY())</f>
        <v/>
      </c>
      <c r="P80" s="9" t="str">
        <f aca="true">IF(C80="","",IF(K80="Hoàn thành",IF(OR(L80="",J80=""),"Xong (thiếu ngày)",IF(L80&lt;=J80,"Xong đúng hạn","Xong trễ")),IF(J80="","Chưa có hạn",IF(J80&lt;TODAY(),"Quá hạn",IF(J80=TODAY(),"Đến hạn hôm nay",IF(J80-TODAY()&lt;=3,"Sắp đến hạn","Trong hạn"))))))</f>
        <v/>
      </c>
      <c r="Q80" s="9" t="str">
        <f aca="false">IF(OR(C80="",J80=""),"",WEEKNUM(J80,21))</f>
        <v/>
      </c>
      <c r="R80" s="2"/>
      <c r="S80" s="9" t="str">
        <f aca="true">IF(AND(C80&lt;&gt;"",K80&lt;&gt;"Hoàn thành",J80&lt;&gt;"",J80&lt;=TODAY()),MAX(S$5:S79)+1,"")</f>
        <v/>
      </c>
      <c r="T80" s="9" t="str">
        <f aca="false">IF(AND(C80&lt;&gt;"",IF(K80="","Chưa làm",K80)="Chưa làm"),MAX(T$5:T79)+1,"")</f>
        <v/>
      </c>
      <c r="U80" s="9" t="str">
        <f aca="false">IF(AND(C80&lt;&gt;"",IF(K80="","Chưa làm",K80)="Đang làm"),MAX(U$5:U79)+1,"")</f>
        <v/>
      </c>
      <c r="V80" s="9" t="str">
        <f aca="false">IF(AND(C80&lt;&gt;"",IF(K80="","Chưa làm",K80)="Chờ duyệt"),MAX(V$5:V79)+1,"")</f>
        <v/>
      </c>
      <c r="W80" s="9" t="str">
        <f aca="false">IF(AND(C80&lt;&gt;"",IF(K80="","Chưa làm",K80)="Hoàn thành"),MAX(W$5:W79)+1,"")</f>
        <v/>
      </c>
      <c r="X80" s="9" t="str">
        <f aca="false">IF(AND(C80&lt;&gt;"",K80&lt;&gt;"Hoàn thành",N80="1. Làm ngay"),MAX(X$5:X79)+1,"")</f>
        <v/>
      </c>
      <c r="Y80" s="9" t="str">
        <f aca="false">IF(AND(C80&lt;&gt;"",K80&lt;&gt;"Hoàn thành",N80="2. Lên lịch"),MAX(Y$5:Y79)+1,"")</f>
        <v/>
      </c>
      <c r="Z80" s="9" t="str">
        <f aca="false">IF(AND(C80&lt;&gt;"",K80&lt;&gt;"Hoàn thành",N80="3. Giao lại"),MAX(Z$5:Z79)+1,"")</f>
        <v/>
      </c>
      <c r="AA80" s="9" t="str">
        <f aca="false">IF(AND(C80&lt;&gt;"",K80&lt;&gt;"Hoàn thành",N80="4. Để sau"),MAX(AA$5:AA79)+1,"")</f>
        <v/>
      </c>
      <c r="AB80" s="9" t="str">
        <f aca="false">IF(AND(C80&lt;&gt;"",J80&lt;&gt;"",J80&gt;=TUAN!$C$3,J80&lt;=TUAN!$C$3+6),MAX(AB$5:AB79)+1,"")</f>
        <v/>
      </c>
    </row>
    <row r="81" customFormat="false" ht="15" hidden="false" customHeight="false" outlineLevel="0" collapsed="false">
      <c r="A81" s="9" t="str">
        <f aca="false">IF(C81="","","CV"&amp;TEXT(ROW()-5,"000"))</f>
        <v/>
      </c>
      <c r="B81" s="10"/>
      <c r="C81" s="11"/>
      <c r="D81" s="12"/>
      <c r="E81" s="12"/>
      <c r="F81" s="12"/>
      <c r="G81" s="12"/>
      <c r="H81" s="12"/>
      <c r="I81" s="12"/>
      <c r="J81" s="10"/>
      <c r="K81" s="12"/>
      <c r="L81" s="10"/>
      <c r="M81" s="12"/>
      <c r="N81" s="9" t="str">
        <f aca="false">IF(C81="","",IF(AND(H81="Có",I81="Có"),"1. Làm ngay",IF(H81="Có","2. Lên lịch",IF(I81="Có","3. Giao lại","4. Để sau"))))</f>
        <v/>
      </c>
      <c r="O81" s="9" t="str">
        <f aca="true">IF(OR(C81="",J81="",K81="Hoàn thành"),"",J81-TODAY())</f>
        <v/>
      </c>
      <c r="P81" s="9" t="str">
        <f aca="true">IF(C81="","",IF(K81="Hoàn thành",IF(OR(L81="",J81=""),"Xong (thiếu ngày)",IF(L81&lt;=J81,"Xong đúng hạn","Xong trễ")),IF(J81="","Chưa có hạn",IF(J81&lt;TODAY(),"Quá hạn",IF(J81=TODAY(),"Đến hạn hôm nay",IF(J81-TODAY()&lt;=3,"Sắp đến hạn","Trong hạn"))))))</f>
        <v/>
      </c>
      <c r="Q81" s="9" t="str">
        <f aca="false">IF(OR(C81="",J81=""),"",WEEKNUM(J81,21))</f>
        <v/>
      </c>
      <c r="R81" s="2"/>
      <c r="S81" s="9" t="str">
        <f aca="true">IF(AND(C81&lt;&gt;"",K81&lt;&gt;"Hoàn thành",J81&lt;&gt;"",J81&lt;=TODAY()),MAX(S$5:S80)+1,"")</f>
        <v/>
      </c>
      <c r="T81" s="9" t="str">
        <f aca="false">IF(AND(C81&lt;&gt;"",IF(K81="","Chưa làm",K81)="Chưa làm"),MAX(T$5:T80)+1,"")</f>
        <v/>
      </c>
      <c r="U81" s="9" t="str">
        <f aca="false">IF(AND(C81&lt;&gt;"",IF(K81="","Chưa làm",K81)="Đang làm"),MAX(U$5:U80)+1,"")</f>
        <v/>
      </c>
      <c r="V81" s="9" t="str">
        <f aca="false">IF(AND(C81&lt;&gt;"",IF(K81="","Chưa làm",K81)="Chờ duyệt"),MAX(V$5:V80)+1,"")</f>
        <v/>
      </c>
      <c r="W81" s="9" t="str">
        <f aca="false">IF(AND(C81&lt;&gt;"",IF(K81="","Chưa làm",K81)="Hoàn thành"),MAX(W$5:W80)+1,"")</f>
        <v/>
      </c>
      <c r="X81" s="9" t="str">
        <f aca="false">IF(AND(C81&lt;&gt;"",K81&lt;&gt;"Hoàn thành",N81="1. Làm ngay"),MAX(X$5:X80)+1,"")</f>
        <v/>
      </c>
      <c r="Y81" s="9" t="str">
        <f aca="false">IF(AND(C81&lt;&gt;"",K81&lt;&gt;"Hoàn thành",N81="2. Lên lịch"),MAX(Y$5:Y80)+1,"")</f>
        <v/>
      </c>
      <c r="Z81" s="9" t="str">
        <f aca="false">IF(AND(C81&lt;&gt;"",K81&lt;&gt;"Hoàn thành",N81="3. Giao lại"),MAX(Z$5:Z80)+1,"")</f>
        <v/>
      </c>
      <c r="AA81" s="9" t="str">
        <f aca="false">IF(AND(C81&lt;&gt;"",K81&lt;&gt;"Hoàn thành",N81="4. Để sau"),MAX(AA$5:AA80)+1,"")</f>
        <v/>
      </c>
      <c r="AB81" s="9" t="str">
        <f aca="false">IF(AND(C81&lt;&gt;"",J81&lt;&gt;"",J81&gt;=TUAN!$C$3,J81&lt;=TUAN!$C$3+6),MAX(AB$5:AB80)+1,"")</f>
        <v/>
      </c>
    </row>
    <row r="82" customFormat="false" ht="15" hidden="false" customHeight="false" outlineLevel="0" collapsed="false">
      <c r="A82" s="9" t="str">
        <f aca="false">IF(C82="","","CV"&amp;TEXT(ROW()-5,"000"))</f>
        <v/>
      </c>
      <c r="B82" s="10"/>
      <c r="C82" s="11"/>
      <c r="D82" s="12"/>
      <c r="E82" s="12"/>
      <c r="F82" s="12"/>
      <c r="G82" s="12"/>
      <c r="H82" s="12"/>
      <c r="I82" s="12"/>
      <c r="J82" s="10"/>
      <c r="K82" s="12"/>
      <c r="L82" s="10"/>
      <c r="M82" s="12"/>
      <c r="N82" s="9" t="str">
        <f aca="false">IF(C82="","",IF(AND(H82="Có",I82="Có"),"1. Làm ngay",IF(H82="Có","2. Lên lịch",IF(I82="Có","3. Giao lại","4. Để sau"))))</f>
        <v/>
      </c>
      <c r="O82" s="9" t="str">
        <f aca="true">IF(OR(C82="",J82="",K82="Hoàn thành"),"",J82-TODAY())</f>
        <v/>
      </c>
      <c r="P82" s="9" t="str">
        <f aca="true">IF(C82="","",IF(K82="Hoàn thành",IF(OR(L82="",J82=""),"Xong (thiếu ngày)",IF(L82&lt;=J82,"Xong đúng hạn","Xong trễ")),IF(J82="","Chưa có hạn",IF(J82&lt;TODAY(),"Quá hạn",IF(J82=TODAY(),"Đến hạn hôm nay",IF(J82-TODAY()&lt;=3,"Sắp đến hạn","Trong hạn"))))))</f>
        <v/>
      </c>
      <c r="Q82" s="9" t="str">
        <f aca="false">IF(OR(C82="",J82=""),"",WEEKNUM(J82,21))</f>
        <v/>
      </c>
      <c r="R82" s="2"/>
      <c r="S82" s="9" t="str">
        <f aca="true">IF(AND(C82&lt;&gt;"",K82&lt;&gt;"Hoàn thành",J82&lt;&gt;"",J82&lt;=TODAY()),MAX(S$5:S81)+1,"")</f>
        <v/>
      </c>
      <c r="T82" s="9" t="str">
        <f aca="false">IF(AND(C82&lt;&gt;"",IF(K82="","Chưa làm",K82)="Chưa làm"),MAX(T$5:T81)+1,"")</f>
        <v/>
      </c>
      <c r="U82" s="9" t="str">
        <f aca="false">IF(AND(C82&lt;&gt;"",IF(K82="","Chưa làm",K82)="Đang làm"),MAX(U$5:U81)+1,"")</f>
        <v/>
      </c>
      <c r="V82" s="9" t="str">
        <f aca="false">IF(AND(C82&lt;&gt;"",IF(K82="","Chưa làm",K82)="Chờ duyệt"),MAX(V$5:V81)+1,"")</f>
        <v/>
      </c>
      <c r="W82" s="9" t="str">
        <f aca="false">IF(AND(C82&lt;&gt;"",IF(K82="","Chưa làm",K82)="Hoàn thành"),MAX(W$5:W81)+1,"")</f>
        <v/>
      </c>
      <c r="X82" s="9" t="str">
        <f aca="false">IF(AND(C82&lt;&gt;"",K82&lt;&gt;"Hoàn thành",N82="1. Làm ngay"),MAX(X$5:X81)+1,"")</f>
        <v/>
      </c>
      <c r="Y82" s="9" t="str">
        <f aca="false">IF(AND(C82&lt;&gt;"",K82&lt;&gt;"Hoàn thành",N82="2. Lên lịch"),MAX(Y$5:Y81)+1,"")</f>
        <v/>
      </c>
      <c r="Z82" s="9" t="str">
        <f aca="false">IF(AND(C82&lt;&gt;"",K82&lt;&gt;"Hoàn thành",N82="3. Giao lại"),MAX(Z$5:Z81)+1,"")</f>
        <v/>
      </c>
      <c r="AA82" s="9" t="str">
        <f aca="false">IF(AND(C82&lt;&gt;"",K82&lt;&gt;"Hoàn thành",N82="4. Để sau"),MAX(AA$5:AA81)+1,"")</f>
        <v/>
      </c>
      <c r="AB82" s="9" t="str">
        <f aca="false">IF(AND(C82&lt;&gt;"",J82&lt;&gt;"",J82&gt;=TUAN!$C$3,J82&lt;=TUAN!$C$3+6),MAX(AB$5:AB81)+1,"")</f>
        <v/>
      </c>
    </row>
    <row r="83" customFormat="false" ht="15" hidden="false" customHeight="false" outlineLevel="0" collapsed="false">
      <c r="A83" s="9" t="str">
        <f aca="false">IF(C83="","","CV"&amp;TEXT(ROW()-5,"000"))</f>
        <v/>
      </c>
      <c r="B83" s="10"/>
      <c r="C83" s="11"/>
      <c r="D83" s="12"/>
      <c r="E83" s="12"/>
      <c r="F83" s="12"/>
      <c r="G83" s="12"/>
      <c r="H83" s="12"/>
      <c r="I83" s="12"/>
      <c r="J83" s="10"/>
      <c r="K83" s="12"/>
      <c r="L83" s="10"/>
      <c r="M83" s="12"/>
      <c r="N83" s="9" t="str">
        <f aca="false">IF(C83="","",IF(AND(H83="Có",I83="Có"),"1. Làm ngay",IF(H83="Có","2. Lên lịch",IF(I83="Có","3. Giao lại","4. Để sau"))))</f>
        <v/>
      </c>
      <c r="O83" s="9" t="str">
        <f aca="true">IF(OR(C83="",J83="",K83="Hoàn thành"),"",J83-TODAY())</f>
        <v/>
      </c>
      <c r="P83" s="9" t="str">
        <f aca="true">IF(C83="","",IF(K83="Hoàn thành",IF(OR(L83="",J83=""),"Xong (thiếu ngày)",IF(L83&lt;=J83,"Xong đúng hạn","Xong trễ")),IF(J83="","Chưa có hạn",IF(J83&lt;TODAY(),"Quá hạn",IF(J83=TODAY(),"Đến hạn hôm nay",IF(J83-TODAY()&lt;=3,"Sắp đến hạn","Trong hạn"))))))</f>
        <v/>
      </c>
      <c r="Q83" s="9" t="str">
        <f aca="false">IF(OR(C83="",J83=""),"",WEEKNUM(J83,21))</f>
        <v/>
      </c>
      <c r="R83" s="2"/>
      <c r="S83" s="9" t="str">
        <f aca="true">IF(AND(C83&lt;&gt;"",K83&lt;&gt;"Hoàn thành",J83&lt;&gt;"",J83&lt;=TODAY()),MAX(S$5:S82)+1,"")</f>
        <v/>
      </c>
      <c r="T83" s="9" t="str">
        <f aca="false">IF(AND(C83&lt;&gt;"",IF(K83="","Chưa làm",K83)="Chưa làm"),MAX(T$5:T82)+1,"")</f>
        <v/>
      </c>
      <c r="U83" s="9" t="str">
        <f aca="false">IF(AND(C83&lt;&gt;"",IF(K83="","Chưa làm",K83)="Đang làm"),MAX(U$5:U82)+1,"")</f>
        <v/>
      </c>
      <c r="V83" s="9" t="str">
        <f aca="false">IF(AND(C83&lt;&gt;"",IF(K83="","Chưa làm",K83)="Chờ duyệt"),MAX(V$5:V82)+1,"")</f>
        <v/>
      </c>
      <c r="W83" s="9" t="str">
        <f aca="false">IF(AND(C83&lt;&gt;"",IF(K83="","Chưa làm",K83)="Hoàn thành"),MAX(W$5:W82)+1,"")</f>
        <v/>
      </c>
      <c r="X83" s="9" t="str">
        <f aca="false">IF(AND(C83&lt;&gt;"",K83&lt;&gt;"Hoàn thành",N83="1. Làm ngay"),MAX(X$5:X82)+1,"")</f>
        <v/>
      </c>
      <c r="Y83" s="9" t="str">
        <f aca="false">IF(AND(C83&lt;&gt;"",K83&lt;&gt;"Hoàn thành",N83="2. Lên lịch"),MAX(Y$5:Y82)+1,"")</f>
        <v/>
      </c>
      <c r="Z83" s="9" t="str">
        <f aca="false">IF(AND(C83&lt;&gt;"",K83&lt;&gt;"Hoàn thành",N83="3. Giao lại"),MAX(Z$5:Z82)+1,"")</f>
        <v/>
      </c>
      <c r="AA83" s="9" t="str">
        <f aca="false">IF(AND(C83&lt;&gt;"",K83&lt;&gt;"Hoàn thành",N83="4. Để sau"),MAX(AA$5:AA82)+1,"")</f>
        <v/>
      </c>
      <c r="AB83" s="9" t="str">
        <f aca="false">IF(AND(C83&lt;&gt;"",J83&lt;&gt;"",J83&gt;=TUAN!$C$3,J83&lt;=TUAN!$C$3+6),MAX(AB$5:AB82)+1,"")</f>
        <v/>
      </c>
    </row>
    <row r="84" customFormat="false" ht="15" hidden="false" customHeight="false" outlineLevel="0" collapsed="false">
      <c r="A84" s="9" t="str">
        <f aca="false">IF(C84="","","CV"&amp;TEXT(ROW()-5,"000"))</f>
        <v/>
      </c>
      <c r="B84" s="10"/>
      <c r="C84" s="11"/>
      <c r="D84" s="12"/>
      <c r="E84" s="12"/>
      <c r="F84" s="12"/>
      <c r="G84" s="12"/>
      <c r="H84" s="12"/>
      <c r="I84" s="12"/>
      <c r="J84" s="10"/>
      <c r="K84" s="12"/>
      <c r="L84" s="10"/>
      <c r="M84" s="12"/>
      <c r="N84" s="9" t="str">
        <f aca="false">IF(C84="","",IF(AND(H84="Có",I84="Có"),"1. Làm ngay",IF(H84="Có","2. Lên lịch",IF(I84="Có","3. Giao lại","4. Để sau"))))</f>
        <v/>
      </c>
      <c r="O84" s="9" t="str">
        <f aca="true">IF(OR(C84="",J84="",K84="Hoàn thành"),"",J84-TODAY())</f>
        <v/>
      </c>
      <c r="P84" s="9" t="str">
        <f aca="true">IF(C84="","",IF(K84="Hoàn thành",IF(OR(L84="",J84=""),"Xong (thiếu ngày)",IF(L84&lt;=J84,"Xong đúng hạn","Xong trễ")),IF(J84="","Chưa có hạn",IF(J84&lt;TODAY(),"Quá hạn",IF(J84=TODAY(),"Đến hạn hôm nay",IF(J84-TODAY()&lt;=3,"Sắp đến hạn","Trong hạn"))))))</f>
        <v/>
      </c>
      <c r="Q84" s="9" t="str">
        <f aca="false">IF(OR(C84="",J84=""),"",WEEKNUM(J84,21))</f>
        <v/>
      </c>
      <c r="R84" s="2"/>
      <c r="S84" s="9" t="str">
        <f aca="true">IF(AND(C84&lt;&gt;"",K84&lt;&gt;"Hoàn thành",J84&lt;&gt;"",J84&lt;=TODAY()),MAX(S$5:S83)+1,"")</f>
        <v/>
      </c>
      <c r="T84" s="9" t="str">
        <f aca="false">IF(AND(C84&lt;&gt;"",IF(K84="","Chưa làm",K84)="Chưa làm"),MAX(T$5:T83)+1,"")</f>
        <v/>
      </c>
      <c r="U84" s="9" t="str">
        <f aca="false">IF(AND(C84&lt;&gt;"",IF(K84="","Chưa làm",K84)="Đang làm"),MAX(U$5:U83)+1,"")</f>
        <v/>
      </c>
      <c r="V84" s="9" t="str">
        <f aca="false">IF(AND(C84&lt;&gt;"",IF(K84="","Chưa làm",K84)="Chờ duyệt"),MAX(V$5:V83)+1,"")</f>
        <v/>
      </c>
      <c r="W84" s="9" t="str">
        <f aca="false">IF(AND(C84&lt;&gt;"",IF(K84="","Chưa làm",K84)="Hoàn thành"),MAX(W$5:W83)+1,"")</f>
        <v/>
      </c>
      <c r="X84" s="9" t="str">
        <f aca="false">IF(AND(C84&lt;&gt;"",K84&lt;&gt;"Hoàn thành",N84="1. Làm ngay"),MAX(X$5:X83)+1,"")</f>
        <v/>
      </c>
      <c r="Y84" s="9" t="str">
        <f aca="false">IF(AND(C84&lt;&gt;"",K84&lt;&gt;"Hoàn thành",N84="2. Lên lịch"),MAX(Y$5:Y83)+1,"")</f>
        <v/>
      </c>
      <c r="Z84" s="9" t="str">
        <f aca="false">IF(AND(C84&lt;&gt;"",K84&lt;&gt;"Hoàn thành",N84="3. Giao lại"),MAX(Z$5:Z83)+1,"")</f>
        <v/>
      </c>
      <c r="AA84" s="9" t="str">
        <f aca="false">IF(AND(C84&lt;&gt;"",K84&lt;&gt;"Hoàn thành",N84="4. Để sau"),MAX(AA$5:AA83)+1,"")</f>
        <v/>
      </c>
      <c r="AB84" s="9" t="str">
        <f aca="false">IF(AND(C84&lt;&gt;"",J84&lt;&gt;"",J84&gt;=TUAN!$C$3,J84&lt;=TUAN!$C$3+6),MAX(AB$5:AB83)+1,"")</f>
        <v/>
      </c>
    </row>
    <row r="85" customFormat="false" ht="15" hidden="false" customHeight="false" outlineLevel="0" collapsed="false">
      <c r="A85" s="9" t="str">
        <f aca="false">IF(C85="","","CV"&amp;TEXT(ROW()-5,"000"))</f>
        <v/>
      </c>
      <c r="B85" s="10"/>
      <c r="C85" s="11"/>
      <c r="D85" s="12"/>
      <c r="E85" s="12"/>
      <c r="F85" s="12"/>
      <c r="G85" s="12"/>
      <c r="H85" s="12"/>
      <c r="I85" s="12"/>
      <c r="J85" s="10"/>
      <c r="K85" s="12"/>
      <c r="L85" s="10"/>
      <c r="M85" s="12"/>
      <c r="N85" s="9" t="str">
        <f aca="false">IF(C85="","",IF(AND(H85="Có",I85="Có"),"1. Làm ngay",IF(H85="Có","2. Lên lịch",IF(I85="Có","3. Giao lại","4. Để sau"))))</f>
        <v/>
      </c>
      <c r="O85" s="9" t="str">
        <f aca="true">IF(OR(C85="",J85="",K85="Hoàn thành"),"",J85-TODAY())</f>
        <v/>
      </c>
      <c r="P85" s="9" t="str">
        <f aca="true">IF(C85="","",IF(K85="Hoàn thành",IF(OR(L85="",J85=""),"Xong (thiếu ngày)",IF(L85&lt;=J85,"Xong đúng hạn","Xong trễ")),IF(J85="","Chưa có hạn",IF(J85&lt;TODAY(),"Quá hạn",IF(J85=TODAY(),"Đến hạn hôm nay",IF(J85-TODAY()&lt;=3,"Sắp đến hạn","Trong hạn"))))))</f>
        <v/>
      </c>
      <c r="Q85" s="9" t="str">
        <f aca="false">IF(OR(C85="",J85=""),"",WEEKNUM(J85,21))</f>
        <v/>
      </c>
      <c r="R85" s="2"/>
      <c r="S85" s="9" t="str">
        <f aca="true">IF(AND(C85&lt;&gt;"",K85&lt;&gt;"Hoàn thành",J85&lt;&gt;"",J85&lt;=TODAY()),MAX(S$5:S84)+1,"")</f>
        <v/>
      </c>
      <c r="T85" s="9" t="str">
        <f aca="false">IF(AND(C85&lt;&gt;"",IF(K85="","Chưa làm",K85)="Chưa làm"),MAX(T$5:T84)+1,"")</f>
        <v/>
      </c>
      <c r="U85" s="9" t="str">
        <f aca="false">IF(AND(C85&lt;&gt;"",IF(K85="","Chưa làm",K85)="Đang làm"),MAX(U$5:U84)+1,"")</f>
        <v/>
      </c>
      <c r="V85" s="9" t="str">
        <f aca="false">IF(AND(C85&lt;&gt;"",IF(K85="","Chưa làm",K85)="Chờ duyệt"),MAX(V$5:V84)+1,"")</f>
        <v/>
      </c>
      <c r="W85" s="9" t="str">
        <f aca="false">IF(AND(C85&lt;&gt;"",IF(K85="","Chưa làm",K85)="Hoàn thành"),MAX(W$5:W84)+1,"")</f>
        <v/>
      </c>
      <c r="X85" s="9" t="str">
        <f aca="false">IF(AND(C85&lt;&gt;"",K85&lt;&gt;"Hoàn thành",N85="1. Làm ngay"),MAX(X$5:X84)+1,"")</f>
        <v/>
      </c>
      <c r="Y85" s="9" t="str">
        <f aca="false">IF(AND(C85&lt;&gt;"",K85&lt;&gt;"Hoàn thành",N85="2. Lên lịch"),MAX(Y$5:Y84)+1,"")</f>
        <v/>
      </c>
      <c r="Z85" s="9" t="str">
        <f aca="false">IF(AND(C85&lt;&gt;"",K85&lt;&gt;"Hoàn thành",N85="3. Giao lại"),MAX(Z$5:Z84)+1,"")</f>
        <v/>
      </c>
      <c r="AA85" s="9" t="str">
        <f aca="false">IF(AND(C85&lt;&gt;"",K85&lt;&gt;"Hoàn thành",N85="4. Để sau"),MAX(AA$5:AA84)+1,"")</f>
        <v/>
      </c>
      <c r="AB85" s="9" t="str">
        <f aca="false">IF(AND(C85&lt;&gt;"",J85&lt;&gt;"",J85&gt;=TUAN!$C$3,J85&lt;=TUAN!$C$3+6),MAX(AB$5:AB84)+1,"")</f>
        <v/>
      </c>
    </row>
    <row r="86" customFormat="false" ht="15" hidden="false" customHeight="false" outlineLevel="0" collapsed="false">
      <c r="A86" s="9" t="str">
        <f aca="false">IF(C86="","","CV"&amp;TEXT(ROW()-5,"000"))</f>
        <v/>
      </c>
      <c r="B86" s="10"/>
      <c r="C86" s="11"/>
      <c r="D86" s="12"/>
      <c r="E86" s="12"/>
      <c r="F86" s="12"/>
      <c r="G86" s="12"/>
      <c r="H86" s="12"/>
      <c r="I86" s="12"/>
      <c r="J86" s="10"/>
      <c r="K86" s="12"/>
      <c r="L86" s="10"/>
      <c r="M86" s="12"/>
      <c r="N86" s="9" t="str">
        <f aca="false">IF(C86="","",IF(AND(H86="Có",I86="Có"),"1. Làm ngay",IF(H86="Có","2. Lên lịch",IF(I86="Có","3. Giao lại","4. Để sau"))))</f>
        <v/>
      </c>
      <c r="O86" s="9" t="str">
        <f aca="true">IF(OR(C86="",J86="",K86="Hoàn thành"),"",J86-TODAY())</f>
        <v/>
      </c>
      <c r="P86" s="9" t="str">
        <f aca="true">IF(C86="","",IF(K86="Hoàn thành",IF(OR(L86="",J86=""),"Xong (thiếu ngày)",IF(L86&lt;=J86,"Xong đúng hạn","Xong trễ")),IF(J86="","Chưa có hạn",IF(J86&lt;TODAY(),"Quá hạn",IF(J86=TODAY(),"Đến hạn hôm nay",IF(J86-TODAY()&lt;=3,"Sắp đến hạn","Trong hạn"))))))</f>
        <v/>
      </c>
      <c r="Q86" s="9" t="str">
        <f aca="false">IF(OR(C86="",J86=""),"",WEEKNUM(J86,21))</f>
        <v/>
      </c>
      <c r="R86" s="2"/>
      <c r="S86" s="9" t="str">
        <f aca="true">IF(AND(C86&lt;&gt;"",K86&lt;&gt;"Hoàn thành",J86&lt;&gt;"",J86&lt;=TODAY()),MAX(S$5:S85)+1,"")</f>
        <v/>
      </c>
      <c r="T86" s="9" t="str">
        <f aca="false">IF(AND(C86&lt;&gt;"",IF(K86="","Chưa làm",K86)="Chưa làm"),MAX(T$5:T85)+1,"")</f>
        <v/>
      </c>
      <c r="U86" s="9" t="str">
        <f aca="false">IF(AND(C86&lt;&gt;"",IF(K86="","Chưa làm",K86)="Đang làm"),MAX(U$5:U85)+1,"")</f>
        <v/>
      </c>
      <c r="V86" s="9" t="str">
        <f aca="false">IF(AND(C86&lt;&gt;"",IF(K86="","Chưa làm",K86)="Chờ duyệt"),MAX(V$5:V85)+1,"")</f>
        <v/>
      </c>
      <c r="W86" s="9" t="str">
        <f aca="false">IF(AND(C86&lt;&gt;"",IF(K86="","Chưa làm",K86)="Hoàn thành"),MAX(W$5:W85)+1,"")</f>
        <v/>
      </c>
      <c r="X86" s="9" t="str">
        <f aca="false">IF(AND(C86&lt;&gt;"",K86&lt;&gt;"Hoàn thành",N86="1. Làm ngay"),MAX(X$5:X85)+1,"")</f>
        <v/>
      </c>
      <c r="Y86" s="9" t="str">
        <f aca="false">IF(AND(C86&lt;&gt;"",K86&lt;&gt;"Hoàn thành",N86="2. Lên lịch"),MAX(Y$5:Y85)+1,"")</f>
        <v/>
      </c>
      <c r="Z86" s="9" t="str">
        <f aca="false">IF(AND(C86&lt;&gt;"",K86&lt;&gt;"Hoàn thành",N86="3. Giao lại"),MAX(Z$5:Z85)+1,"")</f>
        <v/>
      </c>
      <c r="AA86" s="9" t="str">
        <f aca="false">IF(AND(C86&lt;&gt;"",K86&lt;&gt;"Hoàn thành",N86="4. Để sau"),MAX(AA$5:AA85)+1,"")</f>
        <v/>
      </c>
      <c r="AB86" s="9" t="str">
        <f aca="false">IF(AND(C86&lt;&gt;"",J86&lt;&gt;"",J86&gt;=TUAN!$C$3,J86&lt;=TUAN!$C$3+6),MAX(AB$5:AB85)+1,"")</f>
        <v/>
      </c>
    </row>
    <row r="87" customFormat="false" ht="15" hidden="false" customHeight="false" outlineLevel="0" collapsed="false">
      <c r="A87" s="9" t="str">
        <f aca="false">IF(C87="","","CV"&amp;TEXT(ROW()-5,"000"))</f>
        <v/>
      </c>
      <c r="B87" s="10"/>
      <c r="C87" s="11"/>
      <c r="D87" s="12"/>
      <c r="E87" s="12"/>
      <c r="F87" s="12"/>
      <c r="G87" s="12"/>
      <c r="H87" s="12"/>
      <c r="I87" s="12"/>
      <c r="J87" s="10"/>
      <c r="K87" s="12"/>
      <c r="L87" s="10"/>
      <c r="M87" s="12"/>
      <c r="N87" s="9" t="str">
        <f aca="false">IF(C87="","",IF(AND(H87="Có",I87="Có"),"1. Làm ngay",IF(H87="Có","2. Lên lịch",IF(I87="Có","3. Giao lại","4. Để sau"))))</f>
        <v/>
      </c>
      <c r="O87" s="9" t="str">
        <f aca="true">IF(OR(C87="",J87="",K87="Hoàn thành"),"",J87-TODAY())</f>
        <v/>
      </c>
      <c r="P87" s="9" t="str">
        <f aca="true">IF(C87="","",IF(K87="Hoàn thành",IF(OR(L87="",J87=""),"Xong (thiếu ngày)",IF(L87&lt;=J87,"Xong đúng hạn","Xong trễ")),IF(J87="","Chưa có hạn",IF(J87&lt;TODAY(),"Quá hạn",IF(J87=TODAY(),"Đến hạn hôm nay",IF(J87-TODAY()&lt;=3,"Sắp đến hạn","Trong hạn"))))))</f>
        <v/>
      </c>
      <c r="Q87" s="9" t="str">
        <f aca="false">IF(OR(C87="",J87=""),"",WEEKNUM(J87,21))</f>
        <v/>
      </c>
      <c r="R87" s="2"/>
      <c r="S87" s="9" t="str">
        <f aca="true">IF(AND(C87&lt;&gt;"",K87&lt;&gt;"Hoàn thành",J87&lt;&gt;"",J87&lt;=TODAY()),MAX(S$5:S86)+1,"")</f>
        <v/>
      </c>
      <c r="T87" s="9" t="str">
        <f aca="false">IF(AND(C87&lt;&gt;"",IF(K87="","Chưa làm",K87)="Chưa làm"),MAX(T$5:T86)+1,"")</f>
        <v/>
      </c>
      <c r="U87" s="9" t="str">
        <f aca="false">IF(AND(C87&lt;&gt;"",IF(K87="","Chưa làm",K87)="Đang làm"),MAX(U$5:U86)+1,"")</f>
        <v/>
      </c>
      <c r="V87" s="9" t="str">
        <f aca="false">IF(AND(C87&lt;&gt;"",IF(K87="","Chưa làm",K87)="Chờ duyệt"),MAX(V$5:V86)+1,"")</f>
        <v/>
      </c>
      <c r="W87" s="9" t="str">
        <f aca="false">IF(AND(C87&lt;&gt;"",IF(K87="","Chưa làm",K87)="Hoàn thành"),MAX(W$5:W86)+1,"")</f>
        <v/>
      </c>
      <c r="X87" s="9" t="str">
        <f aca="false">IF(AND(C87&lt;&gt;"",K87&lt;&gt;"Hoàn thành",N87="1. Làm ngay"),MAX(X$5:X86)+1,"")</f>
        <v/>
      </c>
      <c r="Y87" s="9" t="str">
        <f aca="false">IF(AND(C87&lt;&gt;"",K87&lt;&gt;"Hoàn thành",N87="2. Lên lịch"),MAX(Y$5:Y86)+1,"")</f>
        <v/>
      </c>
      <c r="Z87" s="9" t="str">
        <f aca="false">IF(AND(C87&lt;&gt;"",K87&lt;&gt;"Hoàn thành",N87="3. Giao lại"),MAX(Z$5:Z86)+1,"")</f>
        <v/>
      </c>
      <c r="AA87" s="9" t="str">
        <f aca="false">IF(AND(C87&lt;&gt;"",K87&lt;&gt;"Hoàn thành",N87="4. Để sau"),MAX(AA$5:AA86)+1,"")</f>
        <v/>
      </c>
      <c r="AB87" s="9" t="str">
        <f aca="false">IF(AND(C87&lt;&gt;"",J87&lt;&gt;"",J87&gt;=TUAN!$C$3,J87&lt;=TUAN!$C$3+6),MAX(AB$5:AB86)+1,"")</f>
        <v/>
      </c>
    </row>
    <row r="88" customFormat="false" ht="15" hidden="false" customHeight="false" outlineLevel="0" collapsed="false">
      <c r="A88" s="9" t="str">
        <f aca="false">IF(C88="","","CV"&amp;TEXT(ROW()-5,"000"))</f>
        <v/>
      </c>
      <c r="B88" s="10"/>
      <c r="C88" s="11"/>
      <c r="D88" s="12"/>
      <c r="E88" s="12"/>
      <c r="F88" s="12"/>
      <c r="G88" s="12"/>
      <c r="H88" s="12"/>
      <c r="I88" s="12"/>
      <c r="J88" s="10"/>
      <c r="K88" s="12"/>
      <c r="L88" s="10"/>
      <c r="M88" s="12"/>
      <c r="N88" s="9" t="str">
        <f aca="false">IF(C88="","",IF(AND(H88="Có",I88="Có"),"1. Làm ngay",IF(H88="Có","2. Lên lịch",IF(I88="Có","3. Giao lại","4. Để sau"))))</f>
        <v/>
      </c>
      <c r="O88" s="9" t="str">
        <f aca="true">IF(OR(C88="",J88="",K88="Hoàn thành"),"",J88-TODAY())</f>
        <v/>
      </c>
      <c r="P88" s="9" t="str">
        <f aca="true">IF(C88="","",IF(K88="Hoàn thành",IF(OR(L88="",J88=""),"Xong (thiếu ngày)",IF(L88&lt;=J88,"Xong đúng hạn","Xong trễ")),IF(J88="","Chưa có hạn",IF(J88&lt;TODAY(),"Quá hạn",IF(J88=TODAY(),"Đến hạn hôm nay",IF(J88-TODAY()&lt;=3,"Sắp đến hạn","Trong hạn"))))))</f>
        <v/>
      </c>
      <c r="Q88" s="9" t="str">
        <f aca="false">IF(OR(C88="",J88=""),"",WEEKNUM(J88,21))</f>
        <v/>
      </c>
      <c r="R88" s="2"/>
      <c r="S88" s="9" t="str">
        <f aca="true">IF(AND(C88&lt;&gt;"",K88&lt;&gt;"Hoàn thành",J88&lt;&gt;"",J88&lt;=TODAY()),MAX(S$5:S87)+1,"")</f>
        <v/>
      </c>
      <c r="T88" s="9" t="str">
        <f aca="false">IF(AND(C88&lt;&gt;"",IF(K88="","Chưa làm",K88)="Chưa làm"),MAX(T$5:T87)+1,"")</f>
        <v/>
      </c>
      <c r="U88" s="9" t="str">
        <f aca="false">IF(AND(C88&lt;&gt;"",IF(K88="","Chưa làm",K88)="Đang làm"),MAX(U$5:U87)+1,"")</f>
        <v/>
      </c>
      <c r="V88" s="9" t="str">
        <f aca="false">IF(AND(C88&lt;&gt;"",IF(K88="","Chưa làm",K88)="Chờ duyệt"),MAX(V$5:V87)+1,"")</f>
        <v/>
      </c>
      <c r="W88" s="9" t="str">
        <f aca="false">IF(AND(C88&lt;&gt;"",IF(K88="","Chưa làm",K88)="Hoàn thành"),MAX(W$5:W87)+1,"")</f>
        <v/>
      </c>
      <c r="X88" s="9" t="str">
        <f aca="false">IF(AND(C88&lt;&gt;"",K88&lt;&gt;"Hoàn thành",N88="1. Làm ngay"),MAX(X$5:X87)+1,"")</f>
        <v/>
      </c>
      <c r="Y88" s="9" t="str">
        <f aca="false">IF(AND(C88&lt;&gt;"",K88&lt;&gt;"Hoàn thành",N88="2. Lên lịch"),MAX(Y$5:Y87)+1,"")</f>
        <v/>
      </c>
      <c r="Z88" s="9" t="str">
        <f aca="false">IF(AND(C88&lt;&gt;"",K88&lt;&gt;"Hoàn thành",N88="3. Giao lại"),MAX(Z$5:Z87)+1,"")</f>
        <v/>
      </c>
      <c r="AA88" s="9" t="str">
        <f aca="false">IF(AND(C88&lt;&gt;"",K88&lt;&gt;"Hoàn thành",N88="4. Để sau"),MAX(AA$5:AA87)+1,"")</f>
        <v/>
      </c>
      <c r="AB88" s="9" t="str">
        <f aca="false">IF(AND(C88&lt;&gt;"",J88&lt;&gt;"",J88&gt;=TUAN!$C$3,J88&lt;=TUAN!$C$3+6),MAX(AB$5:AB87)+1,"")</f>
        <v/>
      </c>
    </row>
    <row r="89" customFormat="false" ht="15" hidden="false" customHeight="false" outlineLevel="0" collapsed="false">
      <c r="A89" s="9" t="str">
        <f aca="false">IF(C89="","","CV"&amp;TEXT(ROW()-5,"000"))</f>
        <v/>
      </c>
      <c r="B89" s="10"/>
      <c r="C89" s="11"/>
      <c r="D89" s="12"/>
      <c r="E89" s="12"/>
      <c r="F89" s="12"/>
      <c r="G89" s="12"/>
      <c r="H89" s="12"/>
      <c r="I89" s="12"/>
      <c r="J89" s="10"/>
      <c r="K89" s="12"/>
      <c r="L89" s="10"/>
      <c r="M89" s="12"/>
      <c r="N89" s="9" t="str">
        <f aca="false">IF(C89="","",IF(AND(H89="Có",I89="Có"),"1. Làm ngay",IF(H89="Có","2. Lên lịch",IF(I89="Có","3. Giao lại","4. Để sau"))))</f>
        <v/>
      </c>
      <c r="O89" s="9" t="str">
        <f aca="true">IF(OR(C89="",J89="",K89="Hoàn thành"),"",J89-TODAY())</f>
        <v/>
      </c>
      <c r="P89" s="9" t="str">
        <f aca="true">IF(C89="","",IF(K89="Hoàn thành",IF(OR(L89="",J89=""),"Xong (thiếu ngày)",IF(L89&lt;=J89,"Xong đúng hạn","Xong trễ")),IF(J89="","Chưa có hạn",IF(J89&lt;TODAY(),"Quá hạn",IF(J89=TODAY(),"Đến hạn hôm nay",IF(J89-TODAY()&lt;=3,"Sắp đến hạn","Trong hạn"))))))</f>
        <v/>
      </c>
      <c r="Q89" s="9" t="str">
        <f aca="false">IF(OR(C89="",J89=""),"",WEEKNUM(J89,21))</f>
        <v/>
      </c>
      <c r="R89" s="2"/>
      <c r="S89" s="9" t="str">
        <f aca="true">IF(AND(C89&lt;&gt;"",K89&lt;&gt;"Hoàn thành",J89&lt;&gt;"",J89&lt;=TODAY()),MAX(S$5:S88)+1,"")</f>
        <v/>
      </c>
      <c r="T89" s="9" t="str">
        <f aca="false">IF(AND(C89&lt;&gt;"",IF(K89="","Chưa làm",K89)="Chưa làm"),MAX(T$5:T88)+1,"")</f>
        <v/>
      </c>
      <c r="U89" s="9" t="str">
        <f aca="false">IF(AND(C89&lt;&gt;"",IF(K89="","Chưa làm",K89)="Đang làm"),MAX(U$5:U88)+1,"")</f>
        <v/>
      </c>
      <c r="V89" s="9" t="str">
        <f aca="false">IF(AND(C89&lt;&gt;"",IF(K89="","Chưa làm",K89)="Chờ duyệt"),MAX(V$5:V88)+1,"")</f>
        <v/>
      </c>
      <c r="W89" s="9" t="str">
        <f aca="false">IF(AND(C89&lt;&gt;"",IF(K89="","Chưa làm",K89)="Hoàn thành"),MAX(W$5:W88)+1,"")</f>
        <v/>
      </c>
      <c r="X89" s="9" t="str">
        <f aca="false">IF(AND(C89&lt;&gt;"",K89&lt;&gt;"Hoàn thành",N89="1. Làm ngay"),MAX(X$5:X88)+1,"")</f>
        <v/>
      </c>
      <c r="Y89" s="9" t="str">
        <f aca="false">IF(AND(C89&lt;&gt;"",K89&lt;&gt;"Hoàn thành",N89="2. Lên lịch"),MAX(Y$5:Y88)+1,"")</f>
        <v/>
      </c>
      <c r="Z89" s="9" t="str">
        <f aca="false">IF(AND(C89&lt;&gt;"",K89&lt;&gt;"Hoàn thành",N89="3. Giao lại"),MAX(Z$5:Z88)+1,"")</f>
        <v/>
      </c>
      <c r="AA89" s="9" t="str">
        <f aca="false">IF(AND(C89&lt;&gt;"",K89&lt;&gt;"Hoàn thành",N89="4. Để sau"),MAX(AA$5:AA88)+1,"")</f>
        <v/>
      </c>
      <c r="AB89" s="9" t="str">
        <f aca="false">IF(AND(C89&lt;&gt;"",J89&lt;&gt;"",J89&gt;=TUAN!$C$3,J89&lt;=TUAN!$C$3+6),MAX(AB$5:AB88)+1,"")</f>
        <v/>
      </c>
    </row>
    <row r="90" customFormat="false" ht="15" hidden="false" customHeight="false" outlineLevel="0" collapsed="false">
      <c r="A90" s="9" t="str">
        <f aca="false">IF(C90="","","CV"&amp;TEXT(ROW()-5,"000"))</f>
        <v/>
      </c>
      <c r="B90" s="10"/>
      <c r="C90" s="11"/>
      <c r="D90" s="12"/>
      <c r="E90" s="12"/>
      <c r="F90" s="12"/>
      <c r="G90" s="12"/>
      <c r="H90" s="12"/>
      <c r="I90" s="12"/>
      <c r="J90" s="10"/>
      <c r="K90" s="12"/>
      <c r="L90" s="10"/>
      <c r="M90" s="12"/>
      <c r="N90" s="9" t="str">
        <f aca="false">IF(C90="","",IF(AND(H90="Có",I90="Có"),"1. Làm ngay",IF(H90="Có","2. Lên lịch",IF(I90="Có","3. Giao lại","4. Để sau"))))</f>
        <v/>
      </c>
      <c r="O90" s="9" t="str">
        <f aca="true">IF(OR(C90="",J90="",K90="Hoàn thành"),"",J90-TODAY())</f>
        <v/>
      </c>
      <c r="P90" s="9" t="str">
        <f aca="true">IF(C90="","",IF(K90="Hoàn thành",IF(OR(L90="",J90=""),"Xong (thiếu ngày)",IF(L90&lt;=J90,"Xong đúng hạn","Xong trễ")),IF(J90="","Chưa có hạn",IF(J90&lt;TODAY(),"Quá hạn",IF(J90=TODAY(),"Đến hạn hôm nay",IF(J90-TODAY()&lt;=3,"Sắp đến hạn","Trong hạn"))))))</f>
        <v/>
      </c>
      <c r="Q90" s="9" t="str">
        <f aca="false">IF(OR(C90="",J90=""),"",WEEKNUM(J90,21))</f>
        <v/>
      </c>
      <c r="R90" s="2"/>
      <c r="S90" s="9" t="str">
        <f aca="true">IF(AND(C90&lt;&gt;"",K90&lt;&gt;"Hoàn thành",J90&lt;&gt;"",J90&lt;=TODAY()),MAX(S$5:S89)+1,"")</f>
        <v/>
      </c>
      <c r="T90" s="9" t="str">
        <f aca="false">IF(AND(C90&lt;&gt;"",IF(K90="","Chưa làm",K90)="Chưa làm"),MAX(T$5:T89)+1,"")</f>
        <v/>
      </c>
      <c r="U90" s="9" t="str">
        <f aca="false">IF(AND(C90&lt;&gt;"",IF(K90="","Chưa làm",K90)="Đang làm"),MAX(U$5:U89)+1,"")</f>
        <v/>
      </c>
      <c r="V90" s="9" t="str">
        <f aca="false">IF(AND(C90&lt;&gt;"",IF(K90="","Chưa làm",K90)="Chờ duyệt"),MAX(V$5:V89)+1,"")</f>
        <v/>
      </c>
      <c r="W90" s="9" t="str">
        <f aca="false">IF(AND(C90&lt;&gt;"",IF(K90="","Chưa làm",K90)="Hoàn thành"),MAX(W$5:W89)+1,"")</f>
        <v/>
      </c>
      <c r="X90" s="9" t="str">
        <f aca="false">IF(AND(C90&lt;&gt;"",K90&lt;&gt;"Hoàn thành",N90="1. Làm ngay"),MAX(X$5:X89)+1,"")</f>
        <v/>
      </c>
      <c r="Y90" s="9" t="str">
        <f aca="false">IF(AND(C90&lt;&gt;"",K90&lt;&gt;"Hoàn thành",N90="2. Lên lịch"),MAX(Y$5:Y89)+1,"")</f>
        <v/>
      </c>
      <c r="Z90" s="9" t="str">
        <f aca="false">IF(AND(C90&lt;&gt;"",K90&lt;&gt;"Hoàn thành",N90="3. Giao lại"),MAX(Z$5:Z89)+1,"")</f>
        <v/>
      </c>
      <c r="AA90" s="9" t="str">
        <f aca="false">IF(AND(C90&lt;&gt;"",K90&lt;&gt;"Hoàn thành",N90="4. Để sau"),MAX(AA$5:AA89)+1,"")</f>
        <v/>
      </c>
      <c r="AB90" s="9" t="str">
        <f aca="false">IF(AND(C90&lt;&gt;"",J90&lt;&gt;"",J90&gt;=TUAN!$C$3,J90&lt;=TUAN!$C$3+6),MAX(AB$5:AB89)+1,"")</f>
        <v/>
      </c>
    </row>
    <row r="91" customFormat="false" ht="15" hidden="false" customHeight="false" outlineLevel="0" collapsed="false">
      <c r="A91" s="9" t="str">
        <f aca="false">IF(C91="","","CV"&amp;TEXT(ROW()-5,"000"))</f>
        <v/>
      </c>
      <c r="B91" s="10"/>
      <c r="C91" s="11"/>
      <c r="D91" s="12"/>
      <c r="E91" s="12"/>
      <c r="F91" s="12"/>
      <c r="G91" s="12"/>
      <c r="H91" s="12"/>
      <c r="I91" s="12"/>
      <c r="J91" s="10"/>
      <c r="K91" s="12"/>
      <c r="L91" s="10"/>
      <c r="M91" s="12"/>
      <c r="N91" s="9" t="str">
        <f aca="false">IF(C91="","",IF(AND(H91="Có",I91="Có"),"1. Làm ngay",IF(H91="Có","2. Lên lịch",IF(I91="Có","3. Giao lại","4. Để sau"))))</f>
        <v/>
      </c>
      <c r="O91" s="9" t="str">
        <f aca="true">IF(OR(C91="",J91="",K91="Hoàn thành"),"",J91-TODAY())</f>
        <v/>
      </c>
      <c r="P91" s="9" t="str">
        <f aca="true">IF(C91="","",IF(K91="Hoàn thành",IF(OR(L91="",J91=""),"Xong (thiếu ngày)",IF(L91&lt;=J91,"Xong đúng hạn","Xong trễ")),IF(J91="","Chưa có hạn",IF(J91&lt;TODAY(),"Quá hạn",IF(J91=TODAY(),"Đến hạn hôm nay",IF(J91-TODAY()&lt;=3,"Sắp đến hạn","Trong hạn"))))))</f>
        <v/>
      </c>
      <c r="Q91" s="9" t="str">
        <f aca="false">IF(OR(C91="",J91=""),"",WEEKNUM(J91,21))</f>
        <v/>
      </c>
      <c r="R91" s="2"/>
      <c r="S91" s="9" t="str">
        <f aca="true">IF(AND(C91&lt;&gt;"",K91&lt;&gt;"Hoàn thành",J91&lt;&gt;"",J91&lt;=TODAY()),MAX(S$5:S90)+1,"")</f>
        <v/>
      </c>
      <c r="T91" s="9" t="str">
        <f aca="false">IF(AND(C91&lt;&gt;"",IF(K91="","Chưa làm",K91)="Chưa làm"),MAX(T$5:T90)+1,"")</f>
        <v/>
      </c>
      <c r="U91" s="9" t="str">
        <f aca="false">IF(AND(C91&lt;&gt;"",IF(K91="","Chưa làm",K91)="Đang làm"),MAX(U$5:U90)+1,"")</f>
        <v/>
      </c>
      <c r="V91" s="9" t="str">
        <f aca="false">IF(AND(C91&lt;&gt;"",IF(K91="","Chưa làm",K91)="Chờ duyệt"),MAX(V$5:V90)+1,"")</f>
        <v/>
      </c>
      <c r="W91" s="9" t="str">
        <f aca="false">IF(AND(C91&lt;&gt;"",IF(K91="","Chưa làm",K91)="Hoàn thành"),MAX(W$5:W90)+1,"")</f>
        <v/>
      </c>
      <c r="X91" s="9" t="str">
        <f aca="false">IF(AND(C91&lt;&gt;"",K91&lt;&gt;"Hoàn thành",N91="1. Làm ngay"),MAX(X$5:X90)+1,"")</f>
        <v/>
      </c>
      <c r="Y91" s="9" t="str">
        <f aca="false">IF(AND(C91&lt;&gt;"",K91&lt;&gt;"Hoàn thành",N91="2. Lên lịch"),MAX(Y$5:Y90)+1,"")</f>
        <v/>
      </c>
      <c r="Z91" s="9" t="str">
        <f aca="false">IF(AND(C91&lt;&gt;"",K91&lt;&gt;"Hoàn thành",N91="3. Giao lại"),MAX(Z$5:Z90)+1,"")</f>
        <v/>
      </c>
      <c r="AA91" s="9" t="str">
        <f aca="false">IF(AND(C91&lt;&gt;"",K91&lt;&gt;"Hoàn thành",N91="4. Để sau"),MAX(AA$5:AA90)+1,"")</f>
        <v/>
      </c>
      <c r="AB91" s="9" t="str">
        <f aca="false">IF(AND(C91&lt;&gt;"",J91&lt;&gt;"",J91&gt;=TUAN!$C$3,J91&lt;=TUAN!$C$3+6),MAX(AB$5:AB90)+1,"")</f>
        <v/>
      </c>
    </row>
    <row r="92" customFormat="false" ht="15" hidden="false" customHeight="false" outlineLevel="0" collapsed="false">
      <c r="A92" s="9" t="str">
        <f aca="false">IF(C92="","","CV"&amp;TEXT(ROW()-5,"000"))</f>
        <v/>
      </c>
      <c r="B92" s="10"/>
      <c r="C92" s="11"/>
      <c r="D92" s="12"/>
      <c r="E92" s="12"/>
      <c r="F92" s="12"/>
      <c r="G92" s="12"/>
      <c r="H92" s="12"/>
      <c r="I92" s="12"/>
      <c r="J92" s="10"/>
      <c r="K92" s="12"/>
      <c r="L92" s="10"/>
      <c r="M92" s="12"/>
      <c r="N92" s="9" t="str">
        <f aca="false">IF(C92="","",IF(AND(H92="Có",I92="Có"),"1. Làm ngay",IF(H92="Có","2. Lên lịch",IF(I92="Có","3. Giao lại","4. Để sau"))))</f>
        <v/>
      </c>
      <c r="O92" s="9" t="str">
        <f aca="true">IF(OR(C92="",J92="",K92="Hoàn thành"),"",J92-TODAY())</f>
        <v/>
      </c>
      <c r="P92" s="9" t="str">
        <f aca="true">IF(C92="","",IF(K92="Hoàn thành",IF(OR(L92="",J92=""),"Xong (thiếu ngày)",IF(L92&lt;=J92,"Xong đúng hạn","Xong trễ")),IF(J92="","Chưa có hạn",IF(J92&lt;TODAY(),"Quá hạn",IF(J92=TODAY(),"Đến hạn hôm nay",IF(J92-TODAY()&lt;=3,"Sắp đến hạn","Trong hạn"))))))</f>
        <v/>
      </c>
      <c r="Q92" s="9" t="str">
        <f aca="false">IF(OR(C92="",J92=""),"",WEEKNUM(J92,21))</f>
        <v/>
      </c>
      <c r="R92" s="2"/>
      <c r="S92" s="9" t="str">
        <f aca="true">IF(AND(C92&lt;&gt;"",K92&lt;&gt;"Hoàn thành",J92&lt;&gt;"",J92&lt;=TODAY()),MAX(S$5:S91)+1,"")</f>
        <v/>
      </c>
      <c r="T92" s="9" t="str">
        <f aca="false">IF(AND(C92&lt;&gt;"",IF(K92="","Chưa làm",K92)="Chưa làm"),MAX(T$5:T91)+1,"")</f>
        <v/>
      </c>
      <c r="U92" s="9" t="str">
        <f aca="false">IF(AND(C92&lt;&gt;"",IF(K92="","Chưa làm",K92)="Đang làm"),MAX(U$5:U91)+1,"")</f>
        <v/>
      </c>
      <c r="V92" s="9" t="str">
        <f aca="false">IF(AND(C92&lt;&gt;"",IF(K92="","Chưa làm",K92)="Chờ duyệt"),MAX(V$5:V91)+1,"")</f>
        <v/>
      </c>
      <c r="W92" s="9" t="str">
        <f aca="false">IF(AND(C92&lt;&gt;"",IF(K92="","Chưa làm",K92)="Hoàn thành"),MAX(W$5:W91)+1,"")</f>
        <v/>
      </c>
      <c r="X92" s="9" t="str">
        <f aca="false">IF(AND(C92&lt;&gt;"",K92&lt;&gt;"Hoàn thành",N92="1. Làm ngay"),MAX(X$5:X91)+1,"")</f>
        <v/>
      </c>
      <c r="Y92" s="9" t="str">
        <f aca="false">IF(AND(C92&lt;&gt;"",K92&lt;&gt;"Hoàn thành",N92="2. Lên lịch"),MAX(Y$5:Y91)+1,"")</f>
        <v/>
      </c>
      <c r="Z92" s="9" t="str">
        <f aca="false">IF(AND(C92&lt;&gt;"",K92&lt;&gt;"Hoàn thành",N92="3. Giao lại"),MAX(Z$5:Z91)+1,"")</f>
        <v/>
      </c>
      <c r="AA92" s="9" t="str">
        <f aca="false">IF(AND(C92&lt;&gt;"",K92&lt;&gt;"Hoàn thành",N92="4. Để sau"),MAX(AA$5:AA91)+1,"")</f>
        <v/>
      </c>
      <c r="AB92" s="9" t="str">
        <f aca="false">IF(AND(C92&lt;&gt;"",J92&lt;&gt;"",J92&gt;=TUAN!$C$3,J92&lt;=TUAN!$C$3+6),MAX(AB$5:AB91)+1,"")</f>
        <v/>
      </c>
    </row>
    <row r="93" customFormat="false" ht="15" hidden="false" customHeight="false" outlineLevel="0" collapsed="false">
      <c r="A93" s="9" t="str">
        <f aca="false">IF(C93="","","CV"&amp;TEXT(ROW()-5,"000"))</f>
        <v/>
      </c>
      <c r="B93" s="10"/>
      <c r="C93" s="11"/>
      <c r="D93" s="12"/>
      <c r="E93" s="12"/>
      <c r="F93" s="12"/>
      <c r="G93" s="12"/>
      <c r="H93" s="12"/>
      <c r="I93" s="12"/>
      <c r="J93" s="10"/>
      <c r="K93" s="12"/>
      <c r="L93" s="10"/>
      <c r="M93" s="12"/>
      <c r="N93" s="9" t="str">
        <f aca="false">IF(C93="","",IF(AND(H93="Có",I93="Có"),"1. Làm ngay",IF(H93="Có","2. Lên lịch",IF(I93="Có","3. Giao lại","4. Để sau"))))</f>
        <v/>
      </c>
      <c r="O93" s="9" t="str">
        <f aca="true">IF(OR(C93="",J93="",K93="Hoàn thành"),"",J93-TODAY())</f>
        <v/>
      </c>
      <c r="P93" s="9" t="str">
        <f aca="true">IF(C93="","",IF(K93="Hoàn thành",IF(OR(L93="",J93=""),"Xong (thiếu ngày)",IF(L93&lt;=J93,"Xong đúng hạn","Xong trễ")),IF(J93="","Chưa có hạn",IF(J93&lt;TODAY(),"Quá hạn",IF(J93=TODAY(),"Đến hạn hôm nay",IF(J93-TODAY()&lt;=3,"Sắp đến hạn","Trong hạn"))))))</f>
        <v/>
      </c>
      <c r="Q93" s="9" t="str">
        <f aca="false">IF(OR(C93="",J93=""),"",WEEKNUM(J93,21))</f>
        <v/>
      </c>
      <c r="R93" s="2"/>
      <c r="S93" s="9" t="str">
        <f aca="true">IF(AND(C93&lt;&gt;"",K93&lt;&gt;"Hoàn thành",J93&lt;&gt;"",J93&lt;=TODAY()),MAX(S$5:S92)+1,"")</f>
        <v/>
      </c>
      <c r="T93" s="9" t="str">
        <f aca="false">IF(AND(C93&lt;&gt;"",IF(K93="","Chưa làm",K93)="Chưa làm"),MAX(T$5:T92)+1,"")</f>
        <v/>
      </c>
      <c r="U93" s="9" t="str">
        <f aca="false">IF(AND(C93&lt;&gt;"",IF(K93="","Chưa làm",K93)="Đang làm"),MAX(U$5:U92)+1,"")</f>
        <v/>
      </c>
      <c r="V93" s="9" t="str">
        <f aca="false">IF(AND(C93&lt;&gt;"",IF(K93="","Chưa làm",K93)="Chờ duyệt"),MAX(V$5:V92)+1,"")</f>
        <v/>
      </c>
      <c r="W93" s="9" t="str">
        <f aca="false">IF(AND(C93&lt;&gt;"",IF(K93="","Chưa làm",K93)="Hoàn thành"),MAX(W$5:W92)+1,"")</f>
        <v/>
      </c>
      <c r="X93" s="9" t="str">
        <f aca="false">IF(AND(C93&lt;&gt;"",K93&lt;&gt;"Hoàn thành",N93="1. Làm ngay"),MAX(X$5:X92)+1,"")</f>
        <v/>
      </c>
      <c r="Y93" s="9" t="str">
        <f aca="false">IF(AND(C93&lt;&gt;"",K93&lt;&gt;"Hoàn thành",N93="2. Lên lịch"),MAX(Y$5:Y92)+1,"")</f>
        <v/>
      </c>
      <c r="Z93" s="9" t="str">
        <f aca="false">IF(AND(C93&lt;&gt;"",K93&lt;&gt;"Hoàn thành",N93="3. Giao lại"),MAX(Z$5:Z92)+1,"")</f>
        <v/>
      </c>
      <c r="AA93" s="9" t="str">
        <f aca="false">IF(AND(C93&lt;&gt;"",K93&lt;&gt;"Hoàn thành",N93="4. Để sau"),MAX(AA$5:AA92)+1,"")</f>
        <v/>
      </c>
      <c r="AB93" s="9" t="str">
        <f aca="false">IF(AND(C93&lt;&gt;"",J93&lt;&gt;"",J93&gt;=TUAN!$C$3,J93&lt;=TUAN!$C$3+6),MAX(AB$5:AB92)+1,"")</f>
        <v/>
      </c>
    </row>
    <row r="94" customFormat="false" ht="15" hidden="false" customHeight="false" outlineLevel="0" collapsed="false">
      <c r="A94" s="9" t="str">
        <f aca="false">IF(C94="","","CV"&amp;TEXT(ROW()-5,"000"))</f>
        <v/>
      </c>
      <c r="B94" s="10"/>
      <c r="C94" s="11"/>
      <c r="D94" s="12"/>
      <c r="E94" s="12"/>
      <c r="F94" s="12"/>
      <c r="G94" s="12"/>
      <c r="H94" s="12"/>
      <c r="I94" s="12"/>
      <c r="J94" s="10"/>
      <c r="K94" s="12"/>
      <c r="L94" s="10"/>
      <c r="M94" s="12"/>
      <c r="N94" s="9" t="str">
        <f aca="false">IF(C94="","",IF(AND(H94="Có",I94="Có"),"1. Làm ngay",IF(H94="Có","2. Lên lịch",IF(I94="Có","3. Giao lại","4. Để sau"))))</f>
        <v/>
      </c>
      <c r="O94" s="9" t="str">
        <f aca="true">IF(OR(C94="",J94="",K94="Hoàn thành"),"",J94-TODAY())</f>
        <v/>
      </c>
      <c r="P94" s="9" t="str">
        <f aca="true">IF(C94="","",IF(K94="Hoàn thành",IF(OR(L94="",J94=""),"Xong (thiếu ngày)",IF(L94&lt;=J94,"Xong đúng hạn","Xong trễ")),IF(J94="","Chưa có hạn",IF(J94&lt;TODAY(),"Quá hạn",IF(J94=TODAY(),"Đến hạn hôm nay",IF(J94-TODAY()&lt;=3,"Sắp đến hạn","Trong hạn"))))))</f>
        <v/>
      </c>
      <c r="Q94" s="9" t="str">
        <f aca="false">IF(OR(C94="",J94=""),"",WEEKNUM(J94,21))</f>
        <v/>
      </c>
      <c r="R94" s="2"/>
      <c r="S94" s="9" t="str">
        <f aca="true">IF(AND(C94&lt;&gt;"",K94&lt;&gt;"Hoàn thành",J94&lt;&gt;"",J94&lt;=TODAY()),MAX(S$5:S93)+1,"")</f>
        <v/>
      </c>
      <c r="T94" s="9" t="str">
        <f aca="false">IF(AND(C94&lt;&gt;"",IF(K94="","Chưa làm",K94)="Chưa làm"),MAX(T$5:T93)+1,"")</f>
        <v/>
      </c>
      <c r="U94" s="9" t="str">
        <f aca="false">IF(AND(C94&lt;&gt;"",IF(K94="","Chưa làm",K94)="Đang làm"),MAX(U$5:U93)+1,"")</f>
        <v/>
      </c>
      <c r="V94" s="9" t="str">
        <f aca="false">IF(AND(C94&lt;&gt;"",IF(K94="","Chưa làm",K94)="Chờ duyệt"),MAX(V$5:V93)+1,"")</f>
        <v/>
      </c>
      <c r="W94" s="9" t="str">
        <f aca="false">IF(AND(C94&lt;&gt;"",IF(K94="","Chưa làm",K94)="Hoàn thành"),MAX(W$5:W93)+1,"")</f>
        <v/>
      </c>
      <c r="X94" s="9" t="str">
        <f aca="false">IF(AND(C94&lt;&gt;"",K94&lt;&gt;"Hoàn thành",N94="1. Làm ngay"),MAX(X$5:X93)+1,"")</f>
        <v/>
      </c>
      <c r="Y94" s="9" t="str">
        <f aca="false">IF(AND(C94&lt;&gt;"",K94&lt;&gt;"Hoàn thành",N94="2. Lên lịch"),MAX(Y$5:Y93)+1,"")</f>
        <v/>
      </c>
      <c r="Z94" s="9" t="str">
        <f aca="false">IF(AND(C94&lt;&gt;"",K94&lt;&gt;"Hoàn thành",N94="3. Giao lại"),MAX(Z$5:Z93)+1,"")</f>
        <v/>
      </c>
      <c r="AA94" s="9" t="str">
        <f aca="false">IF(AND(C94&lt;&gt;"",K94&lt;&gt;"Hoàn thành",N94="4. Để sau"),MAX(AA$5:AA93)+1,"")</f>
        <v/>
      </c>
      <c r="AB94" s="9" t="str">
        <f aca="false">IF(AND(C94&lt;&gt;"",J94&lt;&gt;"",J94&gt;=TUAN!$C$3,J94&lt;=TUAN!$C$3+6),MAX(AB$5:AB93)+1,"")</f>
        <v/>
      </c>
    </row>
    <row r="95" customFormat="false" ht="15" hidden="false" customHeight="false" outlineLevel="0" collapsed="false">
      <c r="A95" s="9" t="str">
        <f aca="false">IF(C95="","","CV"&amp;TEXT(ROW()-5,"000"))</f>
        <v/>
      </c>
      <c r="B95" s="10"/>
      <c r="C95" s="11"/>
      <c r="D95" s="12"/>
      <c r="E95" s="12"/>
      <c r="F95" s="12"/>
      <c r="G95" s="12"/>
      <c r="H95" s="12"/>
      <c r="I95" s="12"/>
      <c r="J95" s="10"/>
      <c r="K95" s="12"/>
      <c r="L95" s="10"/>
      <c r="M95" s="12"/>
      <c r="N95" s="9" t="str">
        <f aca="false">IF(C95="","",IF(AND(H95="Có",I95="Có"),"1. Làm ngay",IF(H95="Có","2. Lên lịch",IF(I95="Có","3. Giao lại","4. Để sau"))))</f>
        <v/>
      </c>
      <c r="O95" s="9" t="str">
        <f aca="true">IF(OR(C95="",J95="",K95="Hoàn thành"),"",J95-TODAY())</f>
        <v/>
      </c>
      <c r="P95" s="9" t="str">
        <f aca="true">IF(C95="","",IF(K95="Hoàn thành",IF(OR(L95="",J95=""),"Xong (thiếu ngày)",IF(L95&lt;=J95,"Xong đúng hạn","Xong trễ")),IF(J95="","Chưa có hạn",IF(J95&lt;TODAY(),"Quá hạn",IF(J95=TODAY(),"Đến hạn hôm nay",IF(J95-TODAY()&lt;=3,"Sắp đến hạn","Trong hạn"))))))</f>
        <v/>
      </c>
      <c r="Q95" s="9" t="str">
        <f aca="false">IF(OR(C95="",J95=""),"",WEEKNUM(J95,21))</f>
        <v/>
      </c>
      <c r="R95" s="2"/>
      <c r="S95" s="9" t="str">
        <f aca="true">IF(AND(C95&lt;&gt;"",K95&lt;&gt;"Hoàn thành",J95&lt;&gt;"",J95&lt;=TODAY()),MAX(S$5:S94)+1,"")</f>
        <v/>
      </c>
      <c r="T95" s="9" t="str">
        <f aca="false">IF(AND(C95&lt;&gt;"",IF(K95="","Chưa làm",K95)="Chưa làm"),MAX(T$5:T94)+1,"")</f>
        <v/>
      </c>
      <c r="U95" s="9" t="str">
        <f aca="false">IF(AND(C95&lt;&gt;"",IF(K95="","Chưa làm",K95)="Đang làm"),MAX(U$5:U94)+1,"")</f>
        <v/>
      </c>
      <c r="V95" s="9" t="str">
        <f aca="false">IF(AND(C95&lt;&gt;"",IF(K95="","Chưa làm",K95)="Chờ duyệt"),MAX(V$5:V94)+1,"")</f>
        <v/>
      </c>
      <c r="W95" s="9" t="str">
        <f aca="false">IF(AND(C95&lt;&gt;"",IF(K95="","Chưa làm",K95)="Hoàn thành"),MAX(W$5:W94)+1,"")</f>
        <v/>
      </c>
      <c r="X95" s="9" t="str">
        <f aca="false">IF(AND(C95&lt;&gt;"",K95&lt;&gt;"Hoàn thành",N95="1. Làm ngay"),MAX(X$5:X94)+1,"")</f>
        <v/>
      </c>
      <c r="Y95" s="9" t="str">
        <f aca="false">IF(AND(C95&lt;&gt;"",K95&lt;&gt;"Hoàn thành",N95="2. Lên lịch"),MAX(Y$5:Y94)+1,"")</f>
        <v/>
      </c>
      <c r="Z95" s="9" t="str">
        <f aca="false">IF(AND(C95&lt;&gt;"",K95&lt;&gt;"Hoàn thành",N95="3. Giao lại"),MAX(Z$5:Z94)+1,"")</f>
        <v/>
      </c>
      <c r="AA95" s="9" t="str">
        <f aca="false">IF(AND(C95&lt;&gt;"",K95&lt;&gt;"Hoàn thành",N95="4. Để sau"),MAX(AA$5:AA94)+1,"")</f>
        <v/>
      </c>
      <c r="AB95" s="9" t="str">
        <f aca="false">IF(AND(C95&lt;&gt;"",J95&lt;&gt;"",J95&gt;=TUAN!$C$3,J95&lt;=TUAN!$C$3+6),MAX(AB$5:AB94)+1,"")</f>
        <v/>
      </c>
    </row>
    <row r="96" customFormat="false" ht="15" hidden="false" customHeight="false" outlineLevel="0" collapsed="false">
      <c r="A96" s="9" t="str">
        <f aca="false">IF(C96="","","CV"&amp;TEXT(ROW()-5,"000"))</f>
        <v/>
      </c>
      <c r="B96" s="10"/>
      <c r="C96" s="11"/>
      <c r="D96" s="12"/>
      <c r="E96" s="12"/>
      <c r="F96" s="12"/>
      <c r="G96" s="12"/>
      <c r="H96" s="12"/>
      <c r="I96" s="12"/>
      <c r="J96" s="10"/>
      <c r="K96" s="12"/>
      <c r="L96" s="10"/>
      <c r="M96" s="12"/>
      <c r="N96" s="9" t="str">
        <f aca="false">IF(C96="","",IF(AND(H96="Có",I96="Có"),"1. Làm ngay",IF(H96="Có","2. Lên lịch",IF(I96="Có","3. Giao lại","4. Để sau"))))</f>
        <v/>
      </c>
      <c r="O96" s="9" t="str">
        <f aca="true">IF(OR(C96="",J96="",K96="Hoàn thành"),"",J96-TODAY())</f>
        <v/>
      </c>
      <c r="P96" s="9" t="str">
        <f aca="true">IF(C96="","",IF(K96="Hoàn thành",IF(OR(L96="",J96=""),"Xong (thiếu ngày)",IF(L96&lt;=J96,"Xong đúng hạn","Xong trễ")),IF(J96="","Chưa có hạn",IF(J96&lt;TODAY(),"Quá hạn",IF(J96=TODAY(),"Đến hạn hôm nay",IF(J96-TODAY()&lt;=3,"Sắp đến hạn","Trong hạn"))))))</f>
        <v/>
      </c>
      <c r="Q96" s="9" t="str">
        <f aca="false">IF(OR(C96="",J96=""),"",WEEKNUM(J96,21))</f>
        <v/>
      </c>
      <c r="R96" s="2"/>
      <c r="S96" s="9" t="str">
        <f aca="true">IF(AND(C96&lt;&gt;"",K96&lt;&gt;"Hoàn thành",J96&lt;&gt;"",J96&lt;=TODAY()),MAX(S$5:S95)+1,"")</f>
        <v/>
      </c>
      <c r="T96" s="9" t="str">
        <f aca="false">IF(AND(C96&lt;&gt;"",IF(K96="","Chưa làm",K96)="Chưa làm"),MAX(T$5:T95)+1,"")</f>
        <v/>
      </c>
      <c r="U96" s="9" t="str">
        <f aca="false">IF(AND(C96&lt;&gt;"",IF(K96="","Chưa làm",K96)="Đang làm"),MAX(U$5:U95)+1,"")</f>
        <v/>
      </c>
      <c r="V96" s="9" t="str">
        <f aca="false">IF(AND(C96&lt;&gt;"",IF(K96="","Chưa làm",K96)="Chờ duyệt"),MAX(V$5:V95)+1,"")</f>
        <v/>
      </c>
      <c r="W96" s="9" t="str">
        <f aca="false">IF(AND(C96&lt;&gt;"",IF(K96="","Chưa làm",K96)="Hoàn thành"),MAX(W$5:W95)+1,"")</f>
        <v/>
      </c>
      <c r="X96" s="9" t="str">
        <f aca="false">IF(AND(C96&lt;&gt;"",K96&lt;&gt;"Hoàn thành",N96="1. Làm ngay"),MAX(X$5:X95)+1,"")</f>
        <v/>
      </c>
      <c r="Y96" s="9" t="str">
        <f aca="false">IF(AND(C96&lt;&gt;"",K96&lt;&gt;"Hoàn thành",N96="2. Lên lịch"),MAX(Y$5:Y95)+1,"")</f>
        <v/>
      </c>
      <c r="Z96" s="9" t="str">
        <f aca="false">IF(AND(C96&lt;&gt;"",K96&lt;&gt;"Hoàn thành",N96="3. Giao lại"),MAX(Z$5:Z95)+1,"")</f>
        <v/>
      </c>
      <c r="AA96" s="9" t="str">
        <f aca="false">IF(AND(C96&lt;&gt;"",K96&lt;&gt;"Hoàn thành",N96="4. Để sau"),MAX(AA$5:AA95)+1,"")</f>
        <v/>
      </c>
      <c r="AB96" s="9" t="str">
        <f aca="false">IF(AND(C96&lt;&gt;"",J96&lt;&gt;"",J96&gt;=TUAN!$C$3,J96&lt;=TUAN!$C$3+6),MAX(AB$5:AB95)+1,"")</f>
        <v/>
      </c>
    </row>
    <row r="97" customFormat="false" ht="15" hidden="false" customHeight="false" outlineLevel="0" collapsed="false">
      <c r="A97" s="9" t="str">
        <f aca="false">IF(C97="","","CV"&amp;TEXT(ROW()-5,"000"))</f>
        <v/>
      </c>
      <c r="B97" s="10"/>
      <c r="C97" s="11"/>
      <c r="D97" s="12"/>
      <c r="E97" s="12"/>
      <c r="F97" s="12"/>
      <c r="G97" s="12"/>
      <c r="H97" s="12"/>
      <c r="I97" s="12"/>
      <c r="J97" s="10"/>
      <c r="K97" s="12"/>
      <c r="L97" s="10"/>
      <c r="M97" s="12"/>
      <c r="N97" s="9" t="str">
        <f aca="false">IF(C97="","",IF(AND(H97="Có",I97="Có"),"1. Làm ngay",IF(H97="Có","2. Lên lịch",IF(I97="Có","3. Giao lại","4. Để sau"))))</f>
        <v/>
      </c>
      <c r="O97" s="9" t="str">
        <f aca="true">IF(OR(C97="",J97="",K97="Hoàn thành"),"",J97-TODAY())</f>
        <v/>
      </c>
      <c r="P97" s="9" t="str">
        <f aca="true">IF(C97="","",IF(K97="Hoàn thành",IF(OR(L97="",J97=""),"Xong (thiếu ngày)",IF(L97&lt;=J97,"Xong đúng hạn","Xong trễ")),IF(J97="","Chưa có hạn",IF(J97&lt;TODAY(),"Quá hạn",IF(J97=TODAY(),"Đến hạn hôm nay",IF(J97-TODAY()&lt;=3,"Sắp đến hạn","Trong hạn"))))))</f>
        <v/>
      </c>
      <c r="Q97" s="9" t="str">
        <f aca="false">IF(OR(C97="",J97=""),"",WEEKNUM(J97,21))</f>
        <v/>
      </c>
      <c r="R97" s="2"/>
      <c r="S97" s="9" t="str">
        <f aca="true">IF(AND(C97&lt;&gt;"",K97&lt;&gt;"Hoàn thành",J97&lt;&gt;"",J97&lt;=TODAY()),MAX(S$5:S96)+1,"")</f>
        <v/>
      </c>
      <c r="T97" s="9" t="str">
        <f aca="false">IF(AND(C97&lt;&gt;"",IF(K97="","Chưa làm",K97)="Chưa làm"),MAX(T$5:T96)+1,"")</f>
        <v/>
      </c>
      <c r="U97" s="9" t="str">
        <f aca="false">IF(AND(C97&lt;&gt;"",IF(K97="","Chưa làm",K97)="Đang làm"),MAX(U$5:U96)+1,"")</f>
        <v/>
      </c>
      <c r="V97" s="9" t="str">
        <f aca="false">IF(AND(C97&lt;&gt;"",IF(K97="","Chưa làm",K97)="Chờ duyệt"),MAX(V$5:V96)+1,"")</f>
        <v/>
      </c>
      <c r="W97" s="9" t="str">
        <f aca="false">IF(AND(C97&lt;&gt;"",IF(K97="","Chưa làm",K97)="Hoàn thành"),MAX(W$5:W96)+1,"")</f>
        <v/>
      </c>
      <c r="X97" s="9" t="str">
        <f aca="false">IF(AND(C97&lt;&gt;"",K97&lt;&gt;"Hoàn thành",N97="1. Làm ngay"),MAX(X$5:X96)+1,"")</f>
        <v/>
      </c>
      <c r="Y97" s="9" t="str">
        <f aca="false">IF(AND(C97&lt;&gt;"",K97&lt;&gt;"Hoàn thành",N97="2. Lên lịch"),MAX(Y$5:Y96)+1,"")</f>
        <v/>
      </c>
      <c r="Z97" s="9" t="str">
        <f aca="false">IF(AND(C97&lt;&gt;"",K97&lt;&gt;"Hoàn thành",N97="3. Giao lại"),MAX(Z$5:Z96)+1,"")</f>
        <v/>
      </c>
      <c r="AA97" s="9" t="str">
        <f aca="false">IF(AND(C97&lt;&gt;"",K97&lt;&gt;"Hoàn thành",N97="4. Để sau"),MAX(AA$5:AA96)+1,"")</f>
        <v/>
      </c>
      <c r="AB97" s="9" t="str">
        <f aca="false">IF(AND(C97&lt;&gt;"",J97&lt;&gt;"",J97&gt;=TUAN!$C$3,J97&lt;=TUAN!$C$3+6),MAX(AB$5:AB96)+1,"")</f>
        <v/>
      </c>
    </row>
    <row r="98" customFormat="false" ht="15" hidden="false" customHeight="false" outlineLevel="0" collapsed="false">
      <c r="A98" s="9" t="str">
        <f aca="false">IF(C98="","","CV"&amp;TEXT(ROW()-5,"000"))</f>
        <v/>
      </c>
      <c r="B98" s="10"/>
      <c r="C98" s="11"/>
      <c r="D98" s="12"/>
      <c r="E98" s="12"/>
      <c r="F98" s="12"/>
      <c r="G98" s="12"/>
      <c r="H98" s="12"/>
      <c r="I98" s="12"/>
      <c r="J98" s="10"/>
      <c r="K98" s="12"/>
      <c r="L98" s="10"/>
      <c r="M98" s="12"/>
      <c r="N98" s="9" t="str">
        <f aca="false">IF(C98="","",IF(AND(H98="Có",I98="Có"),"1. Làm ngay",IF(H98="Có","2. Lên lịch",IF(I98="Có","3. Giao lại","4. Để sau"))))</f>
        <v/>
      </c>
      <c r="O98" s="9" t="str">
        <f aca="true">IF(OR(C98="",J98="",K98="Hoàn thành"),"",J98-TODAY())</f>
        <v/>
      </c>
      <c r="P98" s="9" t="str">
        <f aca="true">IF(C98="","",IF(K98="Hoàn thành",IF(OR(L98="",J98=""),"Xong (thiếu ngày)",IF(L98&lt;=J98,"Xong đúng hạn","Xong trễ")),IF(J98="","Chưa có hạn",IF(J98&lt;TODAY(),"Quá hạn",IF(J98=TODAY(),"Đến hạn hôm nay",IF(J98-TODAY()&lt;=3,"Sắp đến hạn","Trong hạn"))))))</f>
        <v/>
      </c>
      <c r="Q98" s="9" t="str">
        <f aca="false">IF(OR(C98="",J98=""),"",WEEKNUM(J98,21))</f>
        <v/>
      </c>
      <c r="R98" s="2"/>
      <c r="S98" s="9" t="str">
        <f aca="true">IF(AND(C98&lt;&gt;"",K98&lt;&gt;"Hoàn thành",J98&lt;&gt;"",J98&lt;=TODAY()),MAX(S$5:S97)+1,"")</f>
        <v/>
      </c>
      <c r="T98" s="9" t="str">
        <f aca="false">IF(AND(C98&lt;&gt;"",IF(K98="","Chưa làm",K98)="Chưa làm"),MAX(T$5:T97)+1,"")</f>
        <v/>
      </c>
      <c r="U98" s="9" t="str">
        <f aca="false">IF(AND(C98&lt;&gt;"",IF(K98="","Chưa làm",K98)="Đang làm"),MAX(U$5:U97)+1,"")</f>
        <v/>
      </c>
      <c r="V98" s="9" t="str">
        <f aca="false">IF(AND(C98&lt;&gt;"",IF(K98="","Chưa làm",K98)="Chờ duyệt"),MAX(V$5:V97)+1,"")</f>
        <v/>
      </c>
      <c r="W98" s="9" t="str">
        <f aca="false">IF(AND(C98&lt;&gt;"",IF(K98="","Chưa làm",K98)="Hoàn thành"),MAX(W$5:W97)+1,"")</f>
        <v/>
      </c>
      <c r="X98" s="9" t="str">
        <f aca="false">IF(AND(C98&lt;&gt;"",K98&lt;&gt;"Hoàn thành",N98="1. Làm ngay"),MAX(X$5:X97)+1,"")</f>
        <v/>
      </c>
      <c r="Y98" s="9" t="str">
        <f aca="false">IF(AND(C98&lt;&gt;"",K98&lt;&gt;"Hoàn thành",N98="2. Lên lịch"),MAX(Y$5:Y97)+1,"")</f>
        <v/>
      </c>
      <c r="Z98" s="9" t="str">
        <f aca="false">IF(AND(C98&lt;&gt;"",K98&lt;&gt;"Hoàn thành",N98="3. Giao lại"),MAX(Z$5:Z97)+1,"")</f>
        <v/>
      </c>
      <c r="AA98" s="9" t="str">
        <f aca="false">IF(AND(C98&lt;&gt;"",K98&lt;&gt;"Hoàn thành",N98="4. Để sau"),MAX(AA$5:AA97)+1,"")</f>
        <v/>
      </c>
      <c r="AB98" s="9" t="str">
        <f aca="false">IF(AND(C98&lt;&gt;"",J98&lt;&gt;"",J98&gt;=TUAN!$C$3,J98&lt;=TUAN!$C$3+6),MAX(AB$5:AB97)+1,"")</f>
        <v/>
      </c>
    </row>
    <row r="99" customFormat="false" ht="15" hidden="false" customHeight="false" outlineLevel="0" collapsed="false">
      <c r="A99" s="9" t="str">
        <f aca="false">IF(C99="","","CV"&amp;TEXT(ROW()-5,"000"))</f>
        <v/>
      </c>
      <c r="B99" s="10"/>
      <c r="C99" s="11"/>
      <c r="D99" s="12"/>
      <c r="E99" s="12"/>
      <c r="F99" s="12"/>
      <c r="G99" s="12"/>
      <c r="H99" s="12"/>
      <c r="I99" s="12"/>
      <c r="J99" s="10"/>
      <c r="K99" s="12"/>
      <c r="L99" s="10"/>
      <c r="M99" s="12"/>
      <c r="N99" s="9" t="str">
        <f aca="false">IF(C99="","",IF(AND(H99="Có",I99="Có"),"1. Làm ngay",IF(H99="Có","2. Lên lịch",IF(I99="Có","3. Giao lại","4. Để sau"))))</f>
        <v/>
      </c>
      <c r="O99" s="9" t="str">
        <f aca="true">IF(OR(C99="",J99="",K99="Hoàn thành"),"",J99-TODAY())</f>
        <v/>
      </c>
      <c r="P99" s="9" t="str">
        <f aca="true">IF(C99="","",IF(K99="Hoàn thành",IF(OR(L99="",J99=""),"Xong (thiếu ngày)",IF(L99&lt;=J99,"Xong đúng hạn","Xong trễ")),IF(J99="","Chưa có hạn",IF(J99&lt;TODAY(),"Quá hạn",IF(J99=TODAY(),"Đến hạn hôm nay",IF(J99-TODAY()&lt;=3,"Sắp đến hạn","Trong hạn"))))))</f>
        <v/>
      </c>
      <c r="Q99" s="9" t="str">
        <f aca="false">IF(OR(C99="",J99=""),"",WEEKNUM(J99,21))</f>
        <v/>
      </c>
      <c r="R99" s="2"/>
      <c r="S99" s="9" t="str">
        <f aca="true">IF(AND(C99&lt;&gt;"",K99&lt;&gt;"Hoàn thành",J99&lt;&gt;"",J99&lt;=TODAY()),MAX(S$5:S98)+1,"")</f>
        <v/>
      </c>
      <c r="T99" s="9" t="str">
        <f aca="false">IF(AND(C99&lt;&gt;"",IF(K99="","Chưa làm",K99)="Chưa làm"),MAX(T$5:T98)+1,"")</f>
        <v/>
      </c>
      <c r="U99" s="9" t="str">
        <f aca="false">IF(AND(C99&lt;&gt;"",IF(K99="","Chưa làm",K99)="Đang làm"),MAX(U$5:U98)+1,"")</f>
        <v/>
      </c>
      <c r="V99" s="9" t="str">
        <f aca="false">IF(AND(C99&lt;&gt;"",IF(K99="","Chưa làm",K99)="Chờ duyệt"),MAX(V$5:V98)+1,"")</f>
        <v/>
      </c>
      <c r="W99" s="9" t="str">
        <f aca="false">IF(AND(C99&lt;&gt;"",IF(K99="","Chưa làm",K99)="Hoàn thành"),MAX(W$5:W98)+1,"")</f>
        <v/>
      </c>
      <c r="X99" s="9" t="str">
        <f aca="false">IF(AND(C99&lt;&gt;"",K99&lt;&gt;"Hoàn thành",N99="1. Làm ngay"),MAX(X$5:X98)+1,"")</f>
        <v/>
      </c>
      <c r="Y99" s="9" t="str">
        <f aca="false">IF(AND(C99&lt;&gt;"",K99&lt;&gt;"Hoàn thành",N99="2. Lên lịch"),MAX(Y$5:Y98)+1,"")</f>
        <v/>
      </c>
      <c r="Z99" s="9" t="str">
        <f aca="false">IF(AND(C99&lt;&gt;"",K99&lt;&gt;"Hoàn thành",N99="3. Giao lại"),MAX(Z$5:Z98)+1,"")</f>
        <v/>
      </c>
      <c r="AA99" s="9" t="str">
        <f aca="false">IF(AND(C99&lt;&gt;"",K99&lt;&gt;"Hoàn thành",N99="4. Để sau"),MAX(AA$5:AA98)+1,"")</f>
        <v/>
      </c>
      <c r="AB99" s="9" t="str">
        <f aca="false">IF(AND(C99&lt;&gt;"",J99&lt;&gt;"",J99&gt;=TUAN!$C$3,J99&lt;=TUAN!$C$3+6),MAX(AB$5:AB98)+1,"")</f>
        <v/>
      </c>
    </row>
    <row r="100" customFormat="false" ht="15" hidden="false" customHeight="false" outlineLevel="0" collapsed="false">
      <c r="A100" s="9" t="str">
        <f aca="false">IF(C100="","","CV"&amp;TEXT(ROW()-5,"000"))</f>
        <v/>
      </c>
      <c r="B100" s="10"/>
      <c r="C100" s="11"/>
      <c r="D100" s="12"/>
      <c r="E100" s="12"/>
      <c r="F100" s="12"/>
      <c r="G100" s="12"/>
      <c r="H100" s="12"/>
      <c r="I100" s="12"/>
      <c r="J100" s="10"/>
      <c r="K100" s="12"/>
      <c r="L100" s="10"/>
      <c r="M100" s="12"/>
      <c r="N100" s="9" t="str">
        <f aca="false">IF(C100="","",IF(AND(H100="Có",I100="Có"),"1. Làm ngay",IF(H100="Có","2. Lên lịch",IF(I100="Có","3. Giao lại","4. Để sau"))))</f>
        <v/>
      </c>
      <c r="O100" s="9" t="str">
        <f aca="true">IF(OR(C100="",J100="",K100="Hoàn thành"),"",J100-TODAY())</f>
        <v/>
      </c>
      <c r="P100" s="9" t="str">
        <f aca="true">IF(C100="","",IF(K100="Hoàn thành",IF(OR(L100="",J100=""),"Xong (thiếu ngày)",IF(L100&lt;=J100,"Xong đúng hạn","Xong trễ")),IF(J100="","Chưa có hạn",IF(J100&lt;TODAY(),"Quá hạn",IF(J100=TODAY(),"Đến hạn hôm nay",IF(J100-TODAY()&lt;=3,"Sắp đến hạn","Trong hạn"))))))</f>
        <v/>
      </c>
      <c r="Q100" s="9" t="str">
        <f aca="false">IF(OR(C100="",J100=""),"",WEEKNUM(J100,21))</f>
        <v/>
      </c>
      <c r="R100" s="2"/>
      <c r="S100" s="9" t="str">
        <f aca="true">IF(AND(C100&lt;&gt;"",K100&lt;&gt;"Hoàn thành",J100&lt;&gt;"",J100&lt;=TODAY()),MAX(S$5:S99)+1,"")</f>
        <v/>
      </c>
      <c r="T100" s="9" t="str">
        <f aca="false">IF(AND(C100&lt;&gt;"",IF(K100="","Chưa làm",K100)="Chưa làm"),MAX(T$5:T99)+1,"")</f>
        <v/>
      </c>
      <c r="U100" s="9" t="str">
        <f aca="false">IF(AND(C100&lt;&gt;"",IF(K100="","Chưa làm",K100)="Đang làm"),MAX(U$5:U99)+1,"")</f>
        <v/>
      </c>
      <c r="V100" s="9" t="str">
        <f aca="false">IF(AND(C100&lt;&gt;"",IF(K100="","Chưa làm",K100)="Chờ duyệt"),MAX(V$5:V99)+1,"")</f>
        <v/>
      </c>
      <c r="W100" s="9" t="str">
        <f aca="false">IF(AND(C100&lt;&gt;"",IF(K100="","Chưa làm",K100)="Hoàn thành"),MAX(W$5:W99)+1,"")</f>
        <v/>
      </c>
      <c r="X100" s="9" t="str">
        <f aca="false">IF(AND(C100&lt;&gt;"",K100&lt;&gt;"Hoàn thành",N100="1. Làm ngay"),MAX(X$5:X99)+1,"")</f>
        <v/>
      </c>
      <c r="Y100" s="9" t="str">
        <f aca="false">IF(AND(C100&lt;&gt;"",K100&lt;&gt;"Hoàn thành",N100="2. Lên lịch"),MAX(Y$5:Y99)+1,"")</f>
        <v/>
      </c>
      <c r="Z100" s="9" t="str">
        <f aca="false">IF(AND(C100&lt;&gt;"",K100&lt;&gt;"Hoàn thành",N100="3. Giao lại"),MAX(Z$5:Z99)+1,"")</f>
        <v/>
      </c>
      <c r="AA100" s="9" t="str">
        <f aca="false">IF(AND(C100&lt;&gt;"",K100&lt;&gt;"Hoàn thành",N100="4. Để sau"),MAX(AA$5:AA99)+1,"")</f>
        <v/>
      </c>
      <c r="AB100" s="9" t="str">
        <f aca="false">IF(AND(C100&lt;&gt;"",J100&lt;&gt;"",J100&gt;=TUAN!$C$3,J100&lt;=TUAN!$C$3+6),MAX(AB$5:AB99)+1,"")</f>
        <v/>
      </c>
    </row>
    <row r="101" customFormat="false" ht="15" hidden="false" customHeight="false" outlineLevel="0" collapsed="false">
      <c r="A101" s="9" t="str">
        <f aca="false">IF(C101="","","CV"&amp;TEXT(ROW()-5,"000"))</f>
        <v/>
      </c>
      <c r="B101" s="10"/>
      <c r="C101" s="11"/>
      <c r="D101" s="12"/>
      <c r="E101" s="12"/>
      <c r="F101" s="12"/>
      <c r="G101" s="12"/>
      <c r="H101" s="12"/>
      <c r="I101" s="12"/>
      <c r="J101" s="10"/>
      <c r="K101" s="12"/>
      <c r="L101" s="10"/>
      <c r="M101" s="12"/>
      <c r="N101" s="9" t="str">
        <f aca="false">IF(C101="","",IF(AND(H101="Có",I101="Có"),"1. Làm ngay",IF(H101="Có","2. Lên lịch",IF(I101="Có","3. Giao lại","4. Để sau"))))</f>
        <v/>
      </c>
      <c r="O101" s="9" t="str">
        <f aca="true">IF(OR(C101="",J101="",K101="Hoàn thành"),"",J101-TODAY())</f>
        <v/>
      </c>
      <c r="P101" s="9" t="str">
        <f aca="true">IF(C101="","",IF(K101="Hoàn thành",IF(OR(L101="",J101=""),"Xong (thiếu ngày)",IF(L101&lt;=J101,"Xong đúng hạn","Xong trễ")),IF(J101="","Chưa có hạn",IF(J101&lt;TODAY(),"Quá hạn",IF(J101=TODAY(),"Đến hạn hôm nay",IF(J101-TODAY()&lt;=3,"Sắp đến hạn","Trong hạn"))))))</f>
        <v/>
      </c>
      <c r="Q101" s="9" t="str">
        <f aca="false">IF(OR(C101="",J101=""),"",WEEKNUM(J101,21))</f>
        <v/>
      </c>
      <c r="R101" s="2"/>
      <c r="S101" s="9" t="str">
        <f aca="true">IF(AND(C101&lt;&gt;"",K101&lt;&gt;"Hoàn thành",J101&lt;&gt;"",J101&lt;=TODAY()),MAX(S$5:S100)+1,"")</f>
        <v/>
      </c>
      <c r="T101" s="9" t="str">
        <f aca="false">IF(AND(C101&lt;&gt;"",IF(K101="","Chưa làm",K101)="Chưa làm"),MAX(T$5:T100)+1,"")</f>
        <v/>
      </c>
      <c r="U101" s="9" t="str">
        <f aca="false">IF(AND(C101&lt;&gt;"",IF(K101="","Chưa làm",K101)="Đang làm"),MAX(U$5:U100)+1,"")</f>
        <v/>
      </c>
      <c r="V101" s="9" t="str">
        <f aca="false">IF(AND(C101&lt;&gt;"",IF(K101="","Chưa làm",K101)="Chờ duyệt"),MAX(V$5:V100)+1,"")</f>
        <v/>
      </c>
      <c r="W101" s="9" t="str">
        <f aca="false">IF(AND(C101&lt;&gt;"",IF(K101="","Chưa làm",K101)="Hoàn thành"),MAX(W$5:W100)+1,"")</f>
        <v/>
      </c>
      <c r="X101" s="9" t="str">
        <f aca="false">IF(AND(C101&lt;&gt;"",K101&lt;&gt;"Hoàn thành",N101="1. Làm ngay"),MAX(X$5:X100)+1,"")</f>
        <v/>
      </c>
      <c r="Y101" s="9" t="str">
        <f aca="false">IF(AND(C101&lt;&gt;"",K101&lt;&gt;"Hoàn thành",N101="2. Lên lịch"),MAX(Y$5:Y100)+1,"")</f>
        <v/>
      </c>
      <c r="Z101" s="9" t="str">
        <f aca="false">IF(AND(C101&lt;&gt;"",K101&lt;&gt;"Hoàn thành",N101="3. Giao lại"),MAX(Z$5:Z100)+1,"")</f>
        <v/>
      </c>
      <c r="AA101" s="9" t="str">
        <f aca="false">IF(AND(C101&lt;&gt;"",K101&lt;&gt;"Hoàn thành",N101="4. Để sau"),MAX(AA$5:AA100)+1,"")</f>
        <v/>
      </c>
      <c r="AB101" s="9" t="str">
        <f aca="false">IF(AND(C101&lt;&gt;"",J101&lt;&gt;"",J101&gt;=TUAN!$C$3,J101&lt;=TUAN!$C$3+6),MAX(AB$5:AB100)+1,"")</f>
        <v/>
      </c>
    </row>
    <row r="102" customFormat="false" ht="15" hidden="false" customHeight="false" outlineLevel="0" collapsed="false">
      <c r="A102" s="9" t="str">
        <f aca="false">IF(C102="","","CV"&amp;TEXT(ROW()-5,"000"))</f>
        <v/>
      </c>
      <c r="B102" s="10"/>
      <c r="C102" s="11"/>
      <c r="D102" s="12"/>
      <c r="E102" s="12"/>
      <c r="F102" s="12"/>
      <c r="G102" s="12"/>
      <c r="H102" s="12"/>
      <c r="I102" s="12"/>
      <c r="J102" s="10"/>
      <c r="K102" s="12"/>
      <c r="L102" s="10"/>
      <c r="M102" s="12"/>
      <c r="N102" s="9" t="str">
        <f aca="false">IF(C102="","",IF(AND(H102="Có",I102="Có"),"1. Làm ngay",IF(H102="Có","2. Lên lịch",IF(I102="Có","3. Giao lại","4. Để sau"))))</f>
        <v/>
      </c>
      <c r="O102" s="9" t="str">
        <f aca="true">IF(OR(C102="",J102="",K102="Hoàn thành"),"",J102-TODAY())</f>
        <v/>
      </c>
      <c r="P102" s="9" t="str">
        <f aca="true">IF(C102="","",IF(K102="Hoàn thành",IF(OR(L102="",J102=""),"Xong (thiếu ngày)",IF(L102&lt;=J102,"Xong đúng hạn","Xong trễ")),IF(J102="","Chưa có hạn",IF(J102&lt;TODAY(),"Quá hạn",IF(J102=TODAY(),"Đến hạn hôm nay",IF(J102-TODAY()&lt;=3,"Sắp đến hạn","Trong hạn"))))))</f>
        <v/>
      </c>
      <c r="Q102" s="9" t="str">
        <f aca="false">IF(OR(C102="",J102=""),"",WEEKNUM(J102,21))</f>
        <v/>
      </c>
      <c r="R102" s="2"/>
      <c r="S102" s="9" t="str">
        <f aca="true">IF(AND(C102&lt;&gt;"",K102&lt;&gt;"Hoàn thành",J102&lt;&gt;"",J102&lt;=TODAY()),MAX(S$5:S101)+1,"")</f>
        <v/>
      </c>
      <c r="T102" s="9" t="str">
        <f aca="false">IF(AND(C102&lt;&gt;"",IF(K102="","Chưa làm",K102)="Chưa làm"),MAX(T$5:T101)+1,"")</f>
        <v/>
      </c>
      <c r="U102" s="9" t="str">
        <f aca="false">IF(AND(C102&lt;&gt;"",IF(K102="","Chưa làm",K102)="Đang làm"),MAX(U$5:U101)+1,"")</f>
        <v/>
      </c>
      <c r="V102" s="9" t="str">
        <f aca="false">IF(AND(C102&lt;&gt;"",IF(K102="","Chưa làm",K102)="Chờ duyệt"),MAX(V$5:V101)+1,"")</f>
        <v/>
      </c>
      <c r="W102" s="9" t="str">
        <f aca="false">IF(AND(C102&lt;&gt;"",IF(K102="","Chưa làm",K102)="Hoàn thành"),MAX(W$5:W101)+1,"")</f>
        <v/>
      </c>
      <c r="X102" s="9" t="str">
        <f aca="false">IF(AND(C102&lt;&gt;"",K102&lt;&gt;"Hoàn thành",N102="1. Làm ngay"),MAX(X$5:X101)+1,"")</f>
        <v/>
      </c>
      <c r="Y102" s="9" t="str">
        <f aca="false">IF(AND(C102&lt;&gt;"",K102&lt;&gt;"Hoàn thành",N102="2. Lên lịch"),MAX(Y$5:Y101)+1,"")</f>
        <v/>
      </c>
      <c r="Z102" s="9" t="str">
        <f aca="false">IF(AND(C102&lt;&gt;"",K102&lt;&gt;"Hoàn thành",N102="3. Giao lại"),MAX(Z$5:Z101)+1,"")</f>
        <v/>
      </c>
      <c r="AA102" s="9" t="str">
        <f aca="false">IF(AND(C102&lt;&gt;"",K102&lt;&gt;"Hoàn thành",N102="4. Để sau"),MAX(AA$5:AA101)+1,"")</f>
        <v/>
      </c>
      <c r="AB102" s="9" t="str">
        <f aca="false">IF(AND(C102&lt;&gt;"",J102&lt;&gt;"",J102&gt;=TUAN!$C$3,J102&lt;=TUAN!$C$3+6),MAX(AB$5:AB101)+1,"")</f>
        <v/>
      </c>
    </row>
    <row r="103" customFormat="false" ht="15" hidden="false" customHeight="false" outlineLevel="0" collapsed="false">
      <c r="A103" s="9" t="str">
        <f aca="false">IF(C103="","","CV"&amp;TEXT(ROW()-5,"000"))</f>
        <v/>
      </c>
      <c r="B103" s="10"/>
      <c r="C103" s="11"/>
      <c r="D103" s="12"/>
      <c r="E103" s="12"/>
      <c r="F103" s="12"/>
      <c r="G103" s="12"/>
      <c r="H103" s="12"/>
      <c r="I103" s="12"/>
      <c r="J103" s="10"/>
      <c r="K103" s="12"/>
      <c r="L103" s="10"/>
      <c r="M103" s="12"/>
      <c r="N103" s="9" t="str">
        <f aca="false">IF(C103="","",IF(AND(H103="Có",I103="Có"),"1. Làm ngay",IF(H103="Có","2. Lên lịch",IF(I103="Có","3. Giao lại","4. Để sau"))))</f>
        <v/>
      </c>
      <c r="O103" s="9" t="str">
        <f aca="true">IF(OR(C103="",J103="",K103="Hoàn thành"),"",J103-TODAY())</f>
        <v/>
      </c>
      <c r="P103" s="9" t="str">
        <f aca="true">IF(C103="","",IF(K103="Hoàn thành",IF(OR(L103="",J103=""),"Xong (thiếu ngày)",IF(L103&lt;=J103,"Xong đúng hạn","Xong trễ")),IF(J103="","Chưa có hạn",IF(J103&lt;TODAY(),"Quá hạn",IF(J103=TODAY(),"Đến hạn hôm nay",IF(J103-TODAY()&lt;=3,"Sắp đến hạn","Trong hạn"))))))</f>
        <v/>
      </c>
      <c r="Q103" s="9" t="str">
        <f aca="false">IF(OR(C103="",J103=""),"",WEEKNUM(J103,21))</f>
        <v/>
      </c>
      <c r="R103" s="2"/>
      <c r="S103" s="9" t="str">
        <f aca="true">IF(AND(C103&lt;&gt;"",K103&lt;&gt;"Hoàn thành",J103&lt;&gt;"",J103&lt;=TODAY()),MAX(S$5:S102)+1,"")</f>
        <v/>
      </c>
      <c r="T103" s="9" t="str">
        <f aca="false">IF(AND(C103&lt;&gt;"",IF(K103="","Chưa làm",K103)="Chưa làm"),MAX(T$5:T102)+1,"")</f>
        <v/>
      </c>
      <c r="U103" s="9" t="str">
        <f aca="false">IF(AND(C103&lt;&gt;"",IF(K103="","Chưa làm",K103)="Đang làm"),MAX(U$5:U102)+1,"")</f>
        <v/>
      </c>
      <c r="V103" s="9" t="str">
        <f aca="false">IF(AND(C103&lt;&gt;"",IF(K103="","Chưa làm",K103)="Chờ duyệt"),MAX(V$5:V102)+1,"")</f>
        <v/>
      </c>
      <c r="W103" s="9" t="str">
        <f aca="false">IF(AND(C103&lt;&gt;"",IF(K103="","Chưa làm",K103)="Hoàn thành"),MAX(W$5:W102)+1,"")</f>
        <v/>
      </c>
      <c r="X103" s="9" t="str">
        <f aca="false">IF(AND(C103&lt;&gt;"",K103&lt;&gt;"Hoàn thành",N103="1. Làm ngay"),MAX(X$5:X102)+1,"")</f>
        <v/>
      </c>
      <c r="Y103" s="9" t="str">
        <f aca="false">IF(AND(C103&lt;&gt;"",K103&lt;&gt;"Hoàn thành",N103="2. Lên lịch"),MAX(Y$5:Y102)+1,"")</f>
        <v/>
      </c>
      <c r="Z103" s="9" t="str">
        <f aca="false">IF(AND(C103&lt;&gt;"",K103&lt;&gt;"Hoàn thành",N103="3. Giao lại"),MAX(Z$5:Z102)+1,"")</f>
        <v/>
      </c>
      <c r="AA103" s="9" t="str">
        <f aca="false">IF(AND(C103&lt;&gt;"",K103&lt;&gt;"Hoàn thành",N103="4. Để sau"),MAX(AA$5:AA102)+1,"")</f>
        <v/>
      </c>
      <c r="AB103" s="9" t="str">
        <f aca="false">IF(AND(C103&lt;&gt;"",J103&lt;&gt;"",J103&gt;=TUAN!$C$3,J103&lt;=TUAN!$C$3+6),MAX(AB$5:AB102)+1,"")</f>
        <v/>
      </c>
    </row>
    <row r="104" customFormat="false" ht="15" hidden="false" customHeight="false" outlineLevel="0" collapsed="false">
      <c r="A104" s="9" t="str">
        <f aca="false">IF(C104="","","CV"&amp;TEXT(ROW()-5,"000"))</f>
        <v/>
      </c>
      <c r="B104" s="10"/>
      <c r="C104" s="11"/>
      <c r="D104" s="12"/>
      <c r="E104" s="12"/>
      <c r="F104" s="12"/>
      <c r="G104" s="12"/>
      <c r="H104" s="12"/>
      <c r="I104" s="12"/>
      <c r="J104" s="10"/>
      <c r="K104" s="12"/>
      <c r="L104" s="10"/>
      <c r="M104" s="12"/>
      <c r="N104" s="9" t="str">
        <f aca="false">IF(C104="","",IF(AND(H104="Có",I104="Có"),"1. Làm ngay",IF(H104="Có","2. Lên lịch",IF(I104="Có","3. Giao lại","4. Để sau"))))</f>
        <v/>
      </c>
      <c r="O104" s="9" t="str">
        <f aca="true">IF(OR(C104="",J104="",K104="Hoàn thành"),"",J104-TODAY())</f>
        <v/>
      </c>
      <c r="P104" s="9" t="str">
        <f aca="true">IF(C104="","",IF(K104="Hoàn thành",IF(OR(L104="",J104=""),"Xong (thiếu ngày)",IF(L104&lt;=J104,"Xong đúng hạn","Xong trễ")),IF(J104="","Chưa có hạn",IF(J104&lt;TODAY(),"Quá hạn",IF(J104=TODAY(),"Đến hạn hôm nay",IF(J104-TODAY()&lt;=3,"Sắp đến hạn","Trong hạn"))))))</f>
        <v/>
      </c>
      <c r="Q104" s="9" t="str">
        <f aca="false">IF(OR(C104="",J104=""),"",WEEKNUM(J104,21))</f>
        <v/>
      </c>
      <c r="R104" s="2"/>
      <c r="S104" s="9" t="str">
        <f aca="true">IF(AND(C104&lt;&gt;"",K104&lt;&gt;"Hoàn thành",J104&lt;&gt;"",J104&lt;=TODAY()),MAX(S$5:S103)+1,"")</f>
        <v/>
      </c>
      <c r="T104" s="9" t="str">
        <f aca="false">IF(AND(C104&lt;&gt;"",IF(K104="","Chưa làm",K104)="Chưa làm"),MAX(T$5:T103)+1,"")</f>
        <v/>
      </c>
      <c r="U104" s="9" t="str">
        <f aca="false">IF(AND(C104&lt;&gt;"",IF(K104="","Chưa làm",K104)="Đang làm"),MAX(U$5:U103)+1,"")</f>
        <v/>
      </c>
      <c r="V104" s="9" t="str">
        <f aca="false">IF(AND(C104&lt;&gt;"",IF(K104="","Chưa làm",K104)="Chờ duyệt"),MAX(V$5:V103)+1,"")</f>
        <v/>
      </c>
      <c r="W104" s="9" t="str">
        <f aca="false">IF(AND(C104&lt;&gt;"",IF(K104="","Chưa làm",K104)="Hoàn thành"),MAX(W$5:W103)+1,"")</f>
        <v/>
      </c>
      <c r="X104" s="9" t="str">
        <f aca="false">IF(AND(C104&lt;&gt;"",K104&lt;&gt;"Hoàn thành",N104="1. Làm ngay"),MAX(X$5:X103)+1,"")</f>
        <v/>
      </c>
      <c r="Y104" s="9" t="str">
        <f aca="false">IF(AND(C104&lt;&gt;"",K104&lt;&gt;"Hoàn thành",N104="2. Lên lịch"),MAX(Y$5:Y103)+1,"")</f>
        <v/>
      </c>
      <c r="Z104" s="9" t="str">
        <f aca="false">IF(AND(C104&lt;&gt;"",K104&lt;&gt;"Hoàn thành",N104="3. Giao lại"),MAX(Z$5:Z103)+1,"")</f>
        <v/>
      </c>
      <c r="AA104" s="9" t="str">
        <f aca="false">IF(AND(C104&lt;&gt;"",K104&lt;&gt;"Hoàn thành",N104="4. Để sau"),MAX(AA$5:AA103)+1,"")</f>
        <v/>
      </c>
      <c r="AB104" s="9" t="str">
        <f aca="false">IF(AND(C104&lt;&gt;"",J104&lt;&gt;"",J104&gt;=TUAN!$C$3,J104&lt;=TUAN!$C$3+6),MAX(AB$5:AB103)+1,"")</f>
        <v/>
      </c>
    </row>
    <row r="105" customFormat="false" ht="15" hidden="false" customHeight="false" outlineLevel="0" collapsed="false">
      <c r="A105" s="9" t="str">
        <f aca="false">IF(C105="","","CV"&amp;TEXT(ROW()-5,"000"))</f>
        <v/>
      </c>
      <c r="B105" s="10"/>
      <c r="C105" s="11"/>
      <c r="D105" s="12"/>
      <c r="E105" s="12"/>
      <c r="F105" s="12"/>
      <c r="G105" s="12"/>
      <c r="H105" s="12"/>
      <c r="I105" s="12"/>
      <c r="J105" s="10"/>
      <c r="K105" s="12"/>
      <c r="L105" s="10"/>
      <c r="M105" s="12"/>
      <c r="N105" s="9" t="str">
        <f aca="false">IF(C105="","",IF(AND(H105="Có",I105="Có"),"1. Làm ngay",IF(H105="Có","2. Lên lịch",IF(I105="Có","3. Giao lại","4. Để sau"))))</f>
        <v/>
      </c>
      <c r="O105" s="9" t="str">
        <f aca="true">IF(OR(C105="",J105="",K105="Hoàn thành"),"",J105-TODAY())</f>
        <v/>
      </c>
      <c r="P105" s="9" t="str">
        <f aca="true">IF(C105="","",IF(K105="Hoàn thành",IF(OR(L105="",J105=""),"Xong (thiếu ngày)",IF(L105&lt;=J105,"Xong đúng hạn","Xong trễ")),IF(J105="","Chưa có hạn",IF(J105&lt;TODAY(),"Quá hạn",IF(J105=TODAY(),"Đến hạn hôm nay",IF(J105-TODAY()&lt;=3,"Sắp đến hạn","Trong hạn"))))))</f>
        <v/>
      </c>
      <c r="Q105" s="9" t="str">
        <f aca="false">IF(OR(C105="",J105=""),"",WEEKNUM(J105,21))</f>
        <v/>
      </c>
      <c r="R105" s="2"/>
      <c r="S105" s="9" t="str">
        <f aca="true">IF(AND(C105&lt;&gt;"",K105&lt;&gt;"Hoàn thành",J105&lt;&gt;"",J105&lt;=TODAY()),MAX(S$5:S104)+1,"")</f>
        <v/>
      </c>
      <c r="T105" s="9" t="str">
        <f aca="false">IF(AND(C105&lt;&gt;"",IF(K105="","Chưa làm",K105)="Chưa làm"),MAX(T$5:T104)+1,"")</f>
        <v/>
      </c>
      <c r="U105" s="9" t="str">
        <f aca="false">IF(AND(C105&lt;&gt;"",IF(K105="","Chưa làm",K105)="Đang làm"),MAX(U$5:U104)+1,"")</f>
        <v/>
      </c>
      <c r="V105" s="9" t="str">
        <f aca="false">IF(AND(C105&lt;&gt;"",IF(K105="","Chưa làm",K105)="Chờ duyệt"),MAX(V$5:V104)+1,"")</f>
        <v/>
      </c>
      <c r="W105" s="9" t="str">
        <f aca="false">IF(AND(C105&lt;&gt;"",IF(K105="","Chưa làm",K105)="Hoàn thành"),MAX(W$5:W104)+1,"")</f>
        <v/>
      </c>
      <c r="X105" s="9" t="str">
        <f aca="false">IF(AND(C105&lt;&gt;"",K105&lt;&gt;"Hoàn thành",N105="1. Làm ngay"),MAX(X$5:X104)+1,"")</f>
        <v/>
      </c>
      <c r="Y105" s="9" t="str">
        <f aca="false">IF(AND(C105&lt;&gt;"",K105&lt;&gt;"Hoàn thành",N105="2. Lên lịch"),MAX(Y$5:Y104)+1,"")</f>
        <v/>
      </c>
      <c r="Z105" s="9" t="str">
        <f aca="false">IF(AND(C105&lt;&gt;"",K105&lt;&gt;"Hoàn thành",N105="3. Giao lại"),MAX(Z$5:Z104)+1,"")</f>
        <v/>
      </c>
      <c r="AA105" s="9" t="str">
        <f aca="false">IF(AND(C105&lt;&gt;"",K105&lt;&gt;"Hoàn thành",N105="4. Để sau"),MAX(AA$5:AA104)+1,"")</f>
        <v/>
      </c>
      <c r="AB105" s="9" t="str">
        <f aca="false">IF(AND(C105&lt;&gt;"",J105&lt;&gt;"",J105&gt;=TUAN!$C$3,J105&lt;=TUAN!$C$3+6),MAX(AB$5:AB104)+1,"")</f>
        <v/>
      </c>
    </row>
    <row r="106" customFormat="false" ht="15" hidden="false" customHeight="false" outlineLevel="0" collapsed="false">
      <c r="A106" s="9" t="str">
        <f aca="false">IF(C106="","","CV"&amp;TEXT(ROW()-5,"000"))</f>
        <v/>
      </c>
      <c r="B106" s="10"/>
      <c r="C106" s="11"/>
      <c r="D106" s="12"/>
      <c r="E106" s="12"/>
      <c r="F106" s="12"/>
      <c r="G106" s="12"/>
      <c r="H106" s="12"/>
      <c r="I106" s="12"/>
      <c r="J106" s="10"/>
      <c r="K106" s="12"/>
      <c r="L106" s="10"/>
      <c r="M106" s="12"/>
      <c r="N106" s="9" t="str">
        <f aca="false">IF(C106="","",IF(AND(H106="Có",I106="Có"),"1. Làm ngay",IF(H106="Có","2. Lên lịch",IF(I106="Có","3. Giao lại","4. Để sau"))))</f>
        <v/>
      </c>
      <c r="O106" s="9" t="str">
        <f aca="true">IF(OR(C106="",J106="",K106="Hoàn thành"),"",J106-TODAY())</f>
        <v/>
      </c>
      <c r="P106" s="9" t="str">
        <f aca="true">IF(C106="","",IF(K106="Hoàn thành",IF(OR(L106="",J106=""),"Xong (thiếu ngày)",IF(L106&lt;=J106,"Xong đúng hạn","Xong trễ")),IF(J106="","Chưa có hạn",IF(J106&lt;TODAY(),"Quá hạn",IF(J106=TODAY(),"Đến hạn hôm nay",IF(J106-TODAY()&lt;=3,"Sắp đến hạn","Trong hạn"))))))</f>
        <v/>
      </c>
      <c r="Q106" s="9" t="str">
        <f aca="false">IF(OR(C106="",J106=""),"",WEEKNUM(J106,21))</f>
        <v/>
      </c>
      <c r="R106" s="2"/>
      <c r="S106" s="9" t="str">
        <f aca="true">IF(AND(C106&lt;&gt;"",K106&lt;&gt;"Hoàn thành",J106&lt;&gt;"",J106&lt;=TODAY()),MAX(S$5:S105)+1,"")</f>
        <v/>
      </c>
      <c r="T106" s="9" t="str">
        <f aca="false">IF(AND(C106&lt;&gt;"",IF(K106="","Chưa làm",K106)="Chưa làm"),MAX(T$5:T105)+1,"")</f>
        <v/>
      </c>
      <c r="U106" s="9" t="str">
        <f aca="false">IF(AND(C106&lt;&gt;"",IF(K106="","Chưa làm",K106)="Đang làm"),MAX(U$5:U105)+1,"")</f>
        <v/>
      </c>
      <c r="V106" s="9" t="str">
        <f aca="false">IF(AND(C106&lt;&gt;"",IF(K106="","Chưa làm",K106)="Chờ duyệt"),MAX(V$5:V105)+1,"")</f>
        <v/>
      </c>
      <c r="W106" s="9" t="str">
        <f aca="false">IF(AND(C106&lt;&gt;"",IF(K106="","Chưa làm",K106)="Hoàn thành"),MAX(W$5:W105)+1,"")</f>
        <v/>
      </c>
      <c r="X106" s="9" t="str">
        <f aca="false">IF(AND(C106&lt;&gt;"",K106&lt;&gt;"Hoàn thành",N106="1. Làm ngay"),MAX(X$5:X105)+1,"")</f>
        <v/>
      </c>
      <c r="Y106" s="9" t="str">
        <f aca="false">IF(AND(C106&lt;&gt;"",K106&lt;&gt;"Hoàn thành",N106="2. Lên lịch"),MAX(Y$5:Y105)+1,"")</f>
        <v/>
      </c>
      <c r="Z106" s="9" t="str">
        <f aca="false">IF(AND(C106&lt;&gt;"",K106&lt;&gt;"Hoàn thành",N106="3. Giao lại"),MAX(Z$5:Z105)+1,"")</f>
        <v/>
      </c>
      <c r="AA106" s="9" t="str">
        <f aca="false">IF(AND(C106&lt;&gt;"",K106&lt;&gt;"Hoàn thành",N106="4. Để sau"),MAX(AA$5:AA105)+1,"")</f>
        <v/>
      </c>
      <c r="AB106" s="9" t="str">
        <f aca="false">IF(AND(C106&lt;&gt;"",J106&lt;&gt;"",J106&gt;=TUAN!$C$3,J106&lt;=TUAN!$C$3+6),MAX(AB$5:AB105)+1,"")</f>
        <v/>
      </c>
    </row>
    <row r="107" customFormat="false" ht="15" hidden="false" customHeight="false" outlineLevel="0" collapsed="false">
      <c r="A107" s="9" t="str">
        <f aca="false">IF(C107="","","CV"&amp;TEXT(ROW()-5,"000"))</f>
        <v/>
      </c>
      <c r="B107" s="10"/>
      <c r="C107" s="11"/>
      <c r="D107" s="12"/>
      <c r="E107" s="12"/>
      <c r="F107" s="12"/>
      <c r="G107" s="12"/>
      <c r="H107" s="12"/>
      <c r="I107" s="12"/>
      <c r="J107" s="10"/>
      <c r="K107" s="12"/>
      <c r="L107" s="10"/>
      <c r="M107" s="12"/>
      <c r="N107" s="9" t="str">
        <f aca="false">IF(C107="","",IF(AND(H107="Có",I107="Có"),"1. Làm ngay",IF(H107="Có","2. Lên lịch",IF(I107="Có","3. Giao lại","4. Để sau"))))</f>
        <v/>
      </c>
      <c r="O107" s="9" t="str">
        <f aca="true">IF(OR(C107="",J107="",K107="Hoàn thành"),"",J107-TODAY())</f>
        <v/>
      </c>
      <c r="P107" s="9" t="str">
        <f aca="true">IF(C107="","",IF(K107="Hoàn thành",IF(OR(L107="",J107=""),"Xong (thiếu ngày)",IF(L107&lt;=J107,"Xong đúng hạn","Xong trễ")),IF(J107="","Chưa có hạn",IF(J107&lt;TODAY(),"Quá hạn",IF(J107=TODAY(),"Đến hạn hôm nay",IF(J107-TODAY()&lt;=3,"Sắp đến hạn","Trong hạn"))))))</f>
        <v/>
      </c>
      <c r="Q107" s="9" t="str">
        <f aca="false">IF(OR(C107="",J107=""),"",WEEKNUM(J107,21))</f>
        <v/>
      </c>
      <c r="R107" s="2"/>
      <c r="S107" s="9" t="str">
        <f aca="true">IF(AND(C107&lt;&gt;"",K107&lt;&gt;"Hoàn thành",J107&lt;&gt;"",J107&lt;=TODAY()),MAX(S$5:S106)+1,"")</f>
        <v/>
      </c>
      <c r="T107" s="9" t="str">
        <f aca="false">IF(AND(C107&lt;&gt;"",IF(K107="","Chưa làm",K107)="Chưa làm"),MAX(T$5:T106)+1,"")</f>
        <v/>
      </c>
      <c r="U107" s="9" t="str">
        <f aca="false">IF(AND(C107&lt;&gt;"",IF(K107="","Chưa làm",K107)="Đang làm"),MAX(U$5:U106)+1,"")</f>
        <v/>
      </c>
      <c r="V107" s="9" t="str">
        <f aca="false">IF(AND(C107&lt;&gt;"",IF(K107="","Chưa làm",K107)="Chờ duyệt"),MAX(V$5:V106)+1,"")</f>
        <v/>
      </c>
      <c r="W107" s="9" t="str">
        <f aca="false">IF(AND(C107&lt;&gt;"",IF(K107="","Chưa làm",K107)="Hoàn thành"),MAX(W$5:W106)+1,"")</f>
        <v/>
      </c>
      <c r="X107" s="9" t="str">
        <f aca="false">IF(AND(C107&lt;&gt;"",K107&lt;&gt;"Hoàn thành",N107="1. Làm ngay"),MAX(X$5:X106)+1,"")</f>
        <v/>
      </c>
      <c r="Y107" s="9" t="str">
        <f aca="false">IF(AND(C107&lt;&gt;"",K107&lt;&gt;"Hoàn thành",N107="2. Lên lịch"),MAX(Y$5:Y106)+1,"")</f>
        <v/>
      </c>
      <c r="Z107" s="9" t="str">
        <f aca="false">IF(AND(C107&lt;&gt;"",K107&lt;&gt;"Hoàn thành",N107="3. Giao lại"),MAX(Z$5:Z106)+1,"")</f>
        <v/>
      </c>
      <c r="AA107" s="9" t="str">
        <f aca="false">IF(AND(C107&lt;&gt;"",K107&lt;&gt;"Hoàn thành",N107="4. Để sau"),MAX(AA$5:AA106)+1,"")</f>
        <v/>
      </c>
      <c r="AB107" s="9" t="str">
        <f aca="false">IF(AND(C107&lt;&gt;"",J107&lt;&gt;"",J107&gt;=TUAN!$C$3,J107&lt;=TUAN!$C$3+6),MAX(AB$5:AB106)+1,"")</f>
        <v/>
      </c>
    </row>
    <row r="108" customFormat="false" ht="15" hidden="false" customHeight="false" outlineLevel="0" collapsed="false">
      <c r="A108" s="9" t="str">
        <f aca="false">IF(C108="","","CV"&amp;TEXT(ROW()-5,"000"))</f>
        <v/>
      </c>
      <c r="B108" s="10"/>
      <c r="C108" s="11"/>
      <c r="D108" s="12"/>
      <c r="E108" s="12"/>
      <c r="F108" s="12"/>
      <c r="G108" s="12"/>
      <c r="H108" s="12"/>
      <c r="I108" s="12"/>
      <c r="J108" s="10"/>
      <c r="K108" s="12"/>
      <c r="L108" s="10"/>
      <c r="M108" s="12"/>
      <c r="N108" s="9" t="str">
        <f aca="false">IF(C108="","",IF(AND(H108="Có",I108="Có"),"1. Làm ngay",IF(H108="Có","2. Lên lịch",IF(I108="Có","3. Giao lại","4. Để sau"))))</f>
        <v/>
      </c>
      <c r="O108" s="9" t="str">
        <f aca="true">IF(OR(C108="",J108="",K108="Hoàn thành"),"",J108-TODAY())</f>
        <v/>
      </c>
      <c r="P108" s="9" t="str">
        <f aca="true">IF(C108="","",IF(K108="Hoàn thành",IF(OR(L108="",J108=""),"Xong (thiếu ngày)",IF(L108&lt;=J108,"Xong đúng hạn","Xong trễ")),IF(J108="","Chưa có hạn",IF(J108&lt;TODAY(),"Quá hạn",IF(J108=TODAY(),"Đến hạn hôm nay",IF(J108-TODAY()&lt;=3,"Sắp đến hạn","Trong hạn"))))))</f>
        <v/>
      </c>
      <c r="Q108" s="9" t="str">
        <f aca="false">IF(OR(C108="",J108=""),"",WEEKNUM(J108,21))</f>
        <v/>
      </c>
      <c r="R108" s="2"/>
      <c r="S108" s="9" t="str">
        <f aca="true">IF(AND(C108&lt;&gt;"",K108&lt;&gt;"Hoàn thành",J108&lt;&gt;"",J108&lt;=TODAY()),MAX(S$5:S107)+1,"")</f>
        <v/>
      </c>
      <c r="T108" s="9" t="str">
        <f aca="false">IF(AND(C108&lt;&gt;"",IF(K108="","Chưa làm",K108)="Chưa làm"),MAX(T$5:T107)+1,"")</f>
        <v/>
      </c>
      <c r="U108" s="9" t="str">
        <f aca="false">IF(AND(C108&lt;&gt;"",IF(K108="","Chưa làm",K108)="Đang làm"),MAX(U$5:U107)+1,"")</f>
        <v/>
      </c>
      <c r="V108" s="9" t="str">
        <f aca="false">IF(AND(C108&lt;&gt;"",IF(K108="","Chưa làm",K108)="Chờ duyệt"),MAX(V$5:V107)+1,"")</f>
        <v/>
      </c>
      <c r="W108" s="9" t="str">
        <f aca="false">IF(AND(C108&lt;&gt;"",IF(K108="","Chưa làm",K108)="Hoàn thành"),MAX(W$5:W107)+1,"")</f>
        <v/>
      </c>
      <c r="X108" s="9" t="str">
        <f aca="false">IF(AND(C108&lt;&gt;"",K108&lt;&gt;"Hoàn thành",N108="1. Làm ngay"),MAX(X$5:X107)+1,"")</f>
        <v/>
      </c>
      <c r="Y108" s="9" t="str">
        <f aca="false">IF(AND(C108&lt;&gt;"",K108&lt;&gt;"Hoàn thành",N108="2. Lên lịch"),MAX(Y$5:Y107)+1,"")</f>
        <v/>
      </c>
      <c r="Z108" s="9" t="str">
        <f aca="false">IF(AND(C108&lt;&gt;"",K108&lt;&gt;"Hoàn thành",N108="3. Giao lại"),MAX(Z$5:Z107)+1,"")</f>
        <v/>
      </c>
      <c r="AA108" s="9" t="str">
        <f aca="false">IF(AND(C108&lt;&gt;"",K108&lt;&gt;"Hoàn thành",N108="4. Để sau"),MAX(AA$5:AA107)+1,"")</f>
        <v/>
      </c>
      <c r="AB108" s="9" t="str">
        <f aca="false">IF(AND(C108&lt;&gt;"",J108&lt;&gt;"",J108&gt;=TUAN!$C$3,J108&lt;=TUAN!$C$3+6),MAX(AB$5:AB107)+1,"")</f>
        <v/>
      </c>
    </row>
    <row r="109" customFormat="false" ht="15" hidden="false" customHeight="false" outlineLevel="0" collapsed="false">
      <c r="A109" s="9" t="str">
        <f aca="false">IF(C109="","","CV"&amp;TEXT(ROW()-5,"000"))</f>
        <v/>
      </c>
      <c r="B109" s="10"/>
      <c r="C109" s="11"/>
      <c r="D109" s="12"/>
      <c r="E109" s="12"/>
      <c r="F109" s="12"/>
      <c r="G109" s="12"/>
      <c r="H109" s="12"/>
      <c r="I109" s="12"/>
      <c r="J109" s="10"/>
      <c r="K109" s="12"/>
      <c r="L109" s="10"/>
      <c r="M109" s="12"/>
      <c r="N109" s="9" t="str">
        <f aca="false">IF(C109="","",IF(AND(H109="Có",I109="Có"),"1. Làm ngay",IF(H109="Có","2. Lên lịch",IF(I109="Có","3. Giao lại","4. Để sau"))))</f>
        <v/>
      </c>
      <c r="O109" s="9" t="str">
        <f aca="true">IF(OR(C109="",J109="",K109="Hoàn thành"),"",J109-TODAY())</f>
        <v/>
      </c>
      <c r="P109" s="9" t="str">
        <f aca="true">IF(C109="","",IF(K109="Hoàn thành",IF(OR(L109="",J109=""),"Xong (thiếu ngày)",IF(L109&lt;=J109,"Xong đúng hạn","Xong trễ")),IF(J109="","Chưa có hạn",IF(J109&lt;TODAY(),"Quá hạn",IF(J109=TODAY(),"Đến hạn hôm nay",IF(J109-TODAY()&lt;=3,"Sắp đến hạn","Trong hạn"))))))</f>
        <v/>
      </c>
      <c r="Q109" s="9" t="str">
        <f aca="false">IF(OR(C109="",J109=""),"",WEEKNUM(J109,21))</f>
        <v/>
      </c>
      <c r="R109" s="2"/>
      <c r="S109" s="9" t="str">
        <f aca="true">IF(AND(C109&lt;&gt;"",K109&lt;&gt;"Hoàn thành",J109&lt;&gt;"",J109&lt;=TODAY()),MAX(S$5:S108)+1,"")</f>
        <v/>
      </c>
      <c r="T109" s="9" t="str">
        <f aca="false">IF(AND(C109&lt;&gt;"",IF(K109="","Chưa làm",K109)="Chưa làm"),MAX(T$5:T108)+1,"")</f>
        <v/>
      </c>
      <c r="U109" s="9" t="str">
        <f aca="false">IF(AND(C109&lt;&gt;"",IF(K109="","Chưa làm",K109)="Đang làm"),MAX(U$5:U108)+1,"")</f>
        <v/>
      </c>
      <c r="V109" s="9" t="str">
        <f aca="false">IF(AND(C109&lt;&gt;"",IF(K109="","Chưa làm",K109)="Chờ duyệt"),MAX(V$5:V108)+1,"")</f>
        <v/>
      </c>
      <c r="W109" s="9" t="str">
        <f aca="false">IF(AND(C109&lt;&gt;"",IF(K109="","Chưa làm",K109)="Hoàn thành"),MAX(W$5:W108)+1,"")</f>
        <v/>
      </c>
      <c r="X109" s="9" t="str">
        <f aca="false">IF(AND(C109&lt;&gt;"",K109&lt;&gt;"Hoàn thành",N109="1. Làm ngay"),MAX(X$5:X108)+1,"")</f>
        <v/>
      </c>
      <c r="Y109" s="9" t="str">
        <f aca="false">IF(AND(C109&lt;&gt;"",K109&lt;&gt;"Hoàn thành",N109="2. Lên lịch"),MAX(Y$5:Y108)+1,"")</f>
        <v/>
      </c>
      <c r="Z109" s="9" t="str">
        <f aca="false">IF(AND(C109&lt;&gt;"",K109&lt;&gt;"Hoàn thành",N109="3. Giao lại"),MAX(Z$5:Z108)+1,"")</f>
        <v/>
      </c>
      <c r="AA109" s="9" t="str">
        <f aca="false">IF(AND(C109&lt;&gt;"",K109&lt;&gt;"Hoàn thành",N109="4. Để sau"),MAX(AA$5:AA108)+1,"")</f>
        <v/>
      </c>
      <c r="AB109" s="9" t="str">
        <f aca="false">IF(AND(C109&lt;&gt;"",J109&lt;&gt;"",J109&gt;=TUAN!$C$3,J109&lt;=TUAN!$C$3+6),MAX(AB$5:AB108)+1,"")</f>
        <v/>
      </c>
    </row>
    <row r="110" customFormat="false" ht="15" hidden="false" customHeight="false" outlineLevel="0" collapsed="false">
      <c r="A110" s="9" t="str">
        <f aca="false">IF(C110="","","CV"&amp;TEXT(ROW()-5,"000"))</f>
        <v/>
      </c>
      <c r="B110" s="10"/>
      <c r="C110" s="11"/>
      <c r="D110" s="12"/>
      <c r="E110" s="12"/>
      <c r="F110" s="12"/>
      <c r="G110" s="12"/>
      <c r="H110" s="12"/>
      <c r="I110" s="12"/>
      <c r="J110" s="10"/>
      <c r="K110" s="12"/>
      <c r="L110" s="10"/>
      <c r="M110" s="12"/>
      <c r="N110" s="9" t="str">
        <f aca="false">IF(C110="","",IF(AND(H110="Có",I110="Có"),"1. Làm ngay",IF(H110="Có","2. Lên lịch",IF(I110="Có","3. Giao lại","4. Để sau"))))</f>
        <v/>
      </c>
      <c r="O110" s="9" t="str">
        <f aca="true">IF(OR(C110="",J110="",K110="Hoàn thành"),"",J110-TODAY())</f>
        <v/>
      </c>
      <c r="P110" s="9" t="str">
        <f aca="true">IF(C110="","",IF(K110="Hoàn thành",IF(OR(L110="",J110=""),"Xong (thiếu ngày)",IF(L110&lt;=J110,"Xong đúng hạn","Xong trễ")),IF(J110="","Chưa có hạn",IF(J110&lt;TODAY(),"Quá hạn",IF(J110=TODAY(),"Đến hạn hôm nay",IF(J110-TODAY()&lt;=3,"Sắp đến hạn","Trong hạn"))))))</f>
        <v/>
      </c>
      <c r="Q110" s="9" t="str">
        <f aca="false">IF(OR(C110="",J110=""),"",WEEKNUM(J110,21))</f>
        <v/>
      </c>
      <c r="R110" s="2"/>
      <c r="S110" s="9" t="str">
        <f aca="true">IF(AND(C110&lt;&gt;"",K110&lt;&gt;"Hoàn thành",J110&lt;&gt;"",J110&lt;=TODAY()),MAX(S$5:S109)+1,"")</f>
        <v/>
      </c>
      <c r="T110" s="9" t="str">
        <f aca="false">IF(AND(C110&lt;&gt;"",IF(K110="","Chưa làm",K110)="Chưa làm"),MAX(T$5:T109)+1,"")</f>
        <v/>
      </c>
      <c r="U110" s="9" t="str">
        <f aca="false">IF(AND(C110&lt;&gt;"",IF(K110="","Chưa làm",K110)="Đang làm"),MAX(U$5:U109)+1,"")</f>
        <v/>
      </c>
      <c r="V110" s="9" t="str">
        <f aca="false">IF(AND(C110&lt;&gt;"",IF(K110="","Chưa làm",K110)="Chờ duyệt"),MAX(V$5:V109)+1,"")</f>
        <v/>
      </c>
      <c r="W110" s="9" t="str">
        <f aca="false">IF(AND(C110&lt;&gt;"",IF(K110="","Chưa làm",K110)="Hoàn thành"),MAX(W$5:W109)+1,"")</f>
        <v/>
      </c>
      <c r="X110" s="9" t="str">
        <f aca="false">IF(AND(C110&lt;&gt;"",K110&lt;&gt;"Hoàn thành",N110="1. Làm ngay"),MAX(X$5:X109)+1,"")</f>
        <v/>
      </c>
      <c r="Y110" s="9" t="str">
        <f aca="false">IF(AND(C110&lt;&gt;"",K110&lt;&gt;"Hoàn thành",N110="2. Lên lịch"),MAX(Y$5:Y109)+1,"")</f>
        <v/>
      </c>
      <c r="Z110" s="9" t="str">
        <f aca="false">IF(AND(C110&lt;&gt;"",K110&lt;&gt;"Hoàn thành",N110="3. Giao lại"),MAX(Z$5:Z109)+1,"")</f>
        <v/>
      </c>
      <c r="AA110" s="9" t="str">
        <f aca="false">IF(AND(C110&lt;&gt;"",K110&lt;&gt;"Hoàn thành",N110="4. Để sau"),MAX(AA$5:AA109)+1,"")</f>
        <v/>
      </c>
      <c r="AB110" s="9" t="str">
        <f aca="false">IF(AND(C110&lt;&gt;"",J110&lt;&gt;"",J110&gt;=TUAN!$C$3,J110&lt;=TUAN!$C$3+6),MAX(AB$5:AB109)+1,"")</f>
        <v/>
      </c>
    </row>
    <row r="111" customFormat="false" ht="15" hidden="false" customHeight="false" outlineLevel="0" collapsed="false">
      <c r="A111" s="9" t="str">
        <f aca="false">IF(C111="","","CV"&amp;TEXT(ROW()-5,"000"))</f>
        <v/>
      </c>
      <c r="B111" s="10"/>
      <c r="C111" s="11"/>
      <c r="D111" s="12"/>
      <c r="E111" s="12"/>
      <c r="F111" s="12"/>
      <c r="G111" s="12"/>
      <c r="H111" s="12"/>
      <c r="I111" s="12"/>
      <c r="J111" s="10"/>
      <c r="K111" s="12"/>
      <c r="L111" s="10"/>
      <c r="M111" s="12"/>
      <c r="N111" s="9" t="str">
        <f aca="false">IF(C111="","",IF(AND(H111="Có",I111="Có"),"1. Làm ngay",IF(H111="Có","2. Lên lịch",IF(I111="Có","3. Giao lại","4. Để sau"))))</f>
        <v/>
      </c>
      <c r="O111" s="9" t="str">
        <f aca="true">IF(OR(C111="",J111="",K111="Hoàn thành"),"",J111-TODAY())</f>
        <v/>
      </c>
      <c r="P111" s="9" t="str">
        <f aca="true">IF(C111="","",IF(K111="Hoàn thành",IF(OR(L111="",J111=""),"Xong (thiếu ngày)",IF(L111&lt;=J111,"Xong đúng hạn","Xong trễ")),IF(J111="","Chưa có hạn",IF(J111&lt;TODAY(),"Quá hạn",IF(J111=TODAY(),"Đến hạn hôm nay",IF(J111-TODAY()&lt;=3,"Sắp đến hạn","Trong hạn"))))))</f>
        <v/>
      </c>
      <c r="Q111" s="9" t="str">
        <f aca="false">IF(OR(C111="",J111=""),"",WEEKNUM(J111,21))</f>
        <v/>
      </c>
      <c r="R111" s="2"/>
      <c r="S111" s="9" t="str">
        <f aca="true">IF(AND(C111&lt;&gt;"",K111&lt;&gt;"Hoàn thành",J111&lt;&gt;"",J111&lt;=TODAY()),MAX(S$5:S110)+1,"")</f>
        <v/>
      </c>
      <c r="T111" s="9" t="str">
        <f aca="false">IF(AND(C111&lt;&gt;"",IF(K111="","Chưa làm",K111)="Chưa làm"),MAX(T$5:T110)+1,"")</f>
        <v/>
      </c>
      <c r="U111" s="9" t="str">
        <f aca="false">IF(AND(C111&lt;&gt;"",IF(K111="","Chưa làm",K111)="Đang làm"),MAX(U$5:U110)+1,"")</f>
        <v/>
      </c>
      <c r="V111" s="9" t="str">
        <f aca="false">IF(AND(C111&lt;&gt;"",IF(K111="","Chưa làm",K111)="Chờ duyệt"),MAX(V$5:V110)+1,"")</f>
        <v/>
      </c>
      <c r="W111" s="9" t="str">
        <f aca="false">IF(AND(C111&lt;&gt;"",IF(K111="","Chưa làm",K111)="Hoàn thành"),MAX(W$5:W110)+1,"")</f>
        <v/>
      </c>
      <c r="X111" s="9" t="str">
        <f aca="false">IF(AND(C111&lt;&gt;"",K111&lt;&gt;"Hoàn thành",N111="1. Làm ngay"),MAX(X$5:X110)+1,"")</f>
        <v/>
      </c>
      <c r="Y111" s="9" t="str">
        <f aca="false">IF(AND(C111&lt;&gt;"",K111&lt;&gt;"Hoàn thành",N111="2. Lên lịch"),MAX(Y$5:Y110)+1,"")</f>
        <v/>
      </c>
      <c r="Z111" s="9" t="str">
        <f aca="false">IF(AND(C111&lt;&gt;"",K111&lt;&gt;"Hoàn thành",N111="3. Giao lại"),MAX(Z$5:Z110)+1,"")</f>
        <v/>
      </c>
      <c r="AA111" s="9" t="str">
        <f aca="false">IF(AND(C111&lt;&gt;"",K111&lt;&gt;"Hoàn thành",N111="4. Để sau"),MAX(AA$5:AA110)+1,"")</f>
        <v/>
      </c>
      <c r="AB111" s="9" t="str">
        <f aca="false">IF(AND(C111&lt;&gt;"",J111&lt;&gt;"",J111&gt;=TUAN!$C$3,J111&lt;=TUAN!$C$3+6),MAX(AB$5:AB110)+1,"")</f>
        <v/>
      </c>
    </row>
    <row r="112" customFormat="false" ht="15" hidden="false" customHeight="false" outlineLevel="0" collapsed="false">
      <c r="A112" s="9" t="str">
        <f aca="false">IF(C112="","","CV"&amp;TEXT(ROW()-5,"000"))</f>
        <v/>
      </c>
      <c r="B112" s="10"/>
      <c r="C112" s="11"/>
      <c r="D112" s="12"/>
      <c r="E112" s="12"/>
      <c r="F112" s="12"/>
      <c r="G112" s="12"/>
      <c r="H112" s="12"/>
      <c r="I112" s="12"/>
      <c r="J112" s="10"/>
      <c r="K112" s="12"/>
      <c r="L112" s="10"/>
      <c r="M112" s="12"/>
      <c r="N112" s="9" t="str">
        <f aca="false">IF(C112="","",IF(AND(H112="Có",I112="Có"),"1. Làm ngay",IF(H112="Có","2. Lên lịch",IF(I112="Có","3. Giao lại","4. Để sau"))))</f>
        <v/>
      </c>
      <c r="O112" s="9" t="str">
        <f aca="true">IF(OR(C112="",J112="",K112="Hoàn thành"),"",J112-TODAY())</f>
        <v/>
      </c>
      <c r="P112" s="9" t="str">
        <f aca="true">IF(C112="","",IF(K112="Hoàn thành",IF(OR(L112="",J112=""),"Xong (thiếu ngày)",IF(L112&lt;=J112,"Xong đúng hạn","Xong trễ")),IF(J112="","Chưa có hạn",IF(J112&lt;TODAY(),"Quá hạn",IF(J112=TODAY(),"Đến hạn hôm nay",IF(J112-TODAY()&lt;=3,"Sắp đến hạn","Trong hạn"))))))</f>
        <v/>
      </c>
      <c r="Q112" s="9" t="str">
        <f aca="false">IF(OR(C112="",J112=""),"",WEEKNUM(J112,21))</f>
        <v/>
      </c>
      <c r="R112" s="2"/>
      <c r="S112" s="9" t="str">
        <f aca="true">IF(AND(C112&lt;&gt;"",K112&lt;&gt;"Hoàn thành",J112&lt;&gt;"",J112&lt;=TODAY()),MAX(S$5:S111)+1,"")</f>
        <v/>
      </c>
      <c r="T112" s="9" t="str">
        <f aca="false">IF(AND(C112&lt;&gt;"",IF(K112="","Chưa làm",K112)="Chưa làm"),MAX(T$5:T111)+1,"")</f>
        <v/>
      </c>
      <c r="U112" s="9" t="str">
        <f aca="false">IF(AND(C112&lt;&gt;"",IF(K112="","Chưa làm",K112)="Đang làm"),MAX(U$5:U111)+1,"")</f>
        <v/>
      </c>
      <c r="V112" s="9" t="str">
        <f aca="false">IF(AND(C112&lt;&gt;"",IF(K112="","Chưa làm",K112)="Chờ duyệt"),MAX(V$5:V111)+1,"")</f>
        <v/>
      </c>
      <c r="W112" s="9" t="str">
        <f aca="false">IF(AND(C112&lt;&gt;"",IF(K112="","Chưa làm",K112)="Hoàn thành"),MAX(W$5:W111)+1,"")</f>
        <v/>
      </c>
      <c r="X112" s="9" t="str">
        <f aca="false">IF(AND(C112&lt;&gt;"",K112&lt;&gt;"Hoàn thành",N112="1. Làm ngay"),MAX(X$5:X111)+1,"")</f>
        <v/>
      </c>
      <c r="Y112" s="9" t="str">
        <f aca="false">IF(AND(C112&lt;&gt;"",K112&lt;&gt;"Hoàn thành",N112="2. Lên lịch"),MAX(Y$5:Y111)+1,"")</f>
        <v/>
      </c>
      <c r="Z112" s="9" t="str">
        <f aca="false">IF(AND(C112&lt;&gt;"",K112&lt;&gt;"Hoàn thành",N112="3. Giao lại"),MAX(Z$5:Z111)+1,"")</f>
        <v/>
      </c>
      <c r="AA112" s="9" t="str">
        <f aca="false">IF(AND(C112&lt;&gt;"",K112&lt;&gt;"Hoàn thành",N112="4. Để sau"),MAX(AA$5:AA111)+1,"")</f>
        <v/>
      </c>
      <c r="AB112" s="9" t="str">
        <f aca="false">IF(AND(C112&lt;&gt;"",J112&lt;&gt;"",J112&gt;=TUAN!$C$3,J112&lt;=TUAN!$C$3+6),MAX(AB$5:AB111)+1,"")</f>
        <v/>
      </c>
    </row>
    <row r="113" customFormat="false" ht="15" hidden="false" customHeight="false" outlineLevel="0" collapsed="false">
      <c r="A113" s="9" t="str">
        <f aca="false">IF(C113="","","CV"&amp;TEXT(ROW()-5,"000"))</f>
        <v/>
      </c>
      <c r="B113" s="10"/>
      <c r="C113" s="11"/>
      <c r="D113" s="12"/>
      <c r="E113" s="12"/>
      <c r="F113" s="12"/>
      <c r="G113" s="12"/>
      <c r="H113" s="12"/>
      <c r="I113" s="12"/>
      <c r="J113" s="10"/>
      <c r="K113" s="12"/>
      <c r="L113" s="10"/>
      <c r="M113" s="12"/>
      <c r="N113" s="9" t="str">
        <f aca="false">IF(C113="","",IF(AND(H113="Có",I113="Có"),"1. Làm ngay",IF(H113="Có","2. Lên lịch",IF(I113="Có","3. Giao lại","4. Để sau"))))</f>
        <v/>
      </c>
      <c r="O113" s="9" t="str">
        <f aca="true">IF(OR(C113="",J113="",K113="Hoàn thành"),"",J113-TODAY())</f>
        <v/>
      </c>
      <c r="P113" s="9" t="str">
        <f aca="true">IF(C113="","",IF(K113="Hoàn thành",IF(OR(L113="",J113=""),"Xong (thiếu ngày)",IF(L113&lt;=J113,"Xong đúng hạn","Xong trễ")),IF(J113="","Chưa có hạn",IF(J113&lt;TODAY(),"Quá hạn",IF(J113=TODAY(),"Đến hạn hôm nay",IF(J113-TODAY()&lt;=3,"Sắp đến hạn","Trong hạn"))))))</f>
        <v/>
      </c>
      <c r="Q113" s="9" t="str">
        <f aca="false">IF(OR(C113="",J113=""),"",WEEKNUM(J113,21))</f>
        <v/>
      </c>
      <c r="R113" s="2"/>
      <c r="S113" s="9" t="str">
        <f aca="true">IF(AND(C113&lt;&gt;"",K113&lt;&gt;"Hoàn thành",J113&lt;&gt;"",J113&lt;=TODAY()),MAX(S$5:S112)+1,"")</f>
        <v/>
      </c>
      <c r="T113" s="9" t="str">
        <f aca="false">IF(AND(C113&lt;&gt;"",IF(K113="","Chưa làm",K113)="Chưa làm"),MAX(T$5:T112)+1,"")</f>
        <v/>
      </c>
      <c r="U113" s="9" t="str">
        <f aca="false">IF(AND(C113&lt;&gt;"",IF(K113="","Chưa làm",K113)="Đang làm"),MAX(U$5:U112)+1,"")</f>
        <v/>
      </c>
      <c r="V113" s="9" t="str">
        <f aca="false">IF(AND(C113&lt;&gt;"",IF(K113="","Chưa làm",K113)="Chờ duyệt"),MAX(V$5:V112)+1,"")</f>
        <v/>
      </c>
      <c r="W113" s="9" t="str">
        <f aca="false">IF(AND(C113&lt;&gt;"",IF(K113="","Chưa làm",K113)="Hoàn thành"),MAX(W$5:W112)+1,"")</f>
        <v/>
      </c>
      <c r="X113" s="9" t="str">
        <f aca="false">IF(AND(C113&lt;&gt;"",K113&lt;&gt;"Hoàn thành",N113="1. Làm ngay"),MAX(X$5:X112)+1,"")</f>
        <v/>
      </c>
      <c r="Y113" s="9" t="str">
        <f aca="false">IF(AND(C113&lt;&gt;"",K113&lt;&gt;"Hoàn thành",N113="2. Lên lịch"),MAX(Y$5:Y112)+1,"")</f>
        <v/>
      </c>
      <c r="Z113" s="9" t="str">
        <f aca="false">IF(AND(C113&lt;&gt;"",K113&lt;&gt;"Hoàn thành",N113="3. Giao lại"),MAX(Z$5:Z112)+1,"")</f>
        <v/>
      </c>
      <c r="AA113" s="9" t="str">
        <f aca="false">IF(AND(C113&lt;&gt;"",K113&lt;&gt;"Hoàn thành",N113="4. Để sau"),MAX(AA$5:AA112)+1,"")</f>
        <v/>
      </c>
      <c r="AB113" s="9" t="str">
        <f aca="false">IF(AND(C113&lt;&gt;"",J113&lt;&gt;"",J113&gt;=TUAN!$C$3,J113&lt;=TUAN!$C$3+6),MAX(AB$5:AB112)+1,"")</f>
        <v/>
      </c>
    </row>
    <row r="114" customFormat="false" ht="15" hidden="false" customHeight="false" outlineLevel="0" collapsed="false">
      <c r="A114" s="9" t="str">
        <f aca="false">IF(C114="","","CV"&amp;TEXT(ROW()-5,"000"))</f>
        <v/>
      </c>
      <c r="B114" s="10"/>
      <c r="C114" s="11"/>
      <c r="D114" s="12"/>
      <c r="E114" s="12"/>
      <c r="F114" s="12"/>
      <c r="G114" s="12"/>
      <c r="H114" s="12"/>
      <c r="I114" s="12"/>
      <c r="J114" s="10"/>
      <c r="K114" s="12"/>
      <c r="L114" s="10"/>
      <c r="M114" s="12"/>
      <c r="N114" s="9" t="str">
        <f aca="false">IF(C114="","",IF(AND(H114="Có",I114="Có"),"1. Làm ngay",IF(H114="Có","2. Lên lịch",IF(I114="Có","3. Giao lại","4. Để sau"))))</f>
        <v/>
      </c>
      <c r="O114" s="9" t="str">
        <f aca="true">IF(OR(C114="",J114="",K114="Hoàn thành"),"",J114-TODAY())</f>
        <v/>
      </c>
      <c r="P114" s="9" t="str">
        <f aca="true">IF(C114="","",IF(K114="Hoàn thành",IF(OR(L114="",J114=""),"Xong (thiếu ngày)",IF(L114&lt;=J114,"Xong đúng hạn","Xong trễ")),IF(J114="","Chưa có hạn",IF(J114&lt;TODAY(),"Quá hạn",IF(J114=TODAY(),"Đến hạn hôm nay",IF(J114-TODAY()&lt;=3,"Sắp đến hạn","Trong hạn"))))))</f>
        <v/>
      </c>
      <c r="Q114" s="9" t="str">
        <f aca="false">IF(OR(C114="",J114=""),"",WEEKNUM(J114,21))</f>
        <v/>
      </c>
      <c r="R114" s="2"/>
      <c r="S114" s="9" t="str">
        <f aca="true">IF(AND(C114&lt;&gt;"",K114&lt;&gt;"Hoàn thành",J114&lt;&gt;"",J114&lt;=TODAY()),MAX(S$5:S113)+1,"")</f>
        <v/>
      </c>
      <c r="T114" s="9" t="str">
        <f aca="false">IF(AND(C114&lt;&gt;"",IF(K114="","Chưa làm",K114)="Chưa làm"),MAX(T$5:T113)+1,"")</f>
        <v/>
      </c>
      <c r="U114" s="9" t="str">
        <f aca="false">IF(AND(C114&lt;&gt;"",IF(K114="","Chưa làm",K114)="Đang làm"),MAX(U$5:U113)+1,"")</f>
        <v/>
      </c>
      <c r="V114" s="9" t="str">
        <f aca="false">IF(AND(C114&lt;&gt;"",IF(K114="","Chưa làm",K114)="Chờ duyệt"),MAX(V$5:V113)+1,"")</f>
        <v/>
      </c>
      <c r="W114" s="9" t="str">
        <f aca="false">IF(AND(C114&lt;&gt;"",IF(K114="","Chưa làm",K114)="Hoàn thành"),MAX(W$5:W113)+1,"")</f>
        <v/>
      </c>
      <c r="X114" s="9" t="str">
        <f aca="false">IF(AND(C114&lt;&gt;"",K114&lt;&gt;"Hoàn thành",N114="1. Làm ngay"),MAX(X$5:X113)+1,"")</f>
        <v/>
      </c>
      <c r="Y114" s="9" t="str">
        <f aca="false">IF(AND(C114&lt;&gt;"",K114&lt;&gt;"Hoàn thành",N114="2. Lên lịch"),MAX(Y$5:Y113)+1,"")</f>
        <v/>
      </c>
      <c r="Z114" s="9" t="str">
        <f aca="false">IF(AND(C114&lt;&gt;"",K114&lt;&gt;"Hoàn thành",N114="3. Giao lại"),MAX(Z$5:Z113)+1,"")</f>
        <v/>
      </c>
      <c r="AA114" s="9" t="str">
        <f aca="false">IF(AND(C114&lt;&gt;"",K114&lt;&gt;"Hoàn thành",N114="4. Để sau"),MAX(AA$5:AA113)+1,"")</f>
        <v/>
      </c>
      <c r="AB114" s="9" t="str">
        <f aca="false">IF(AND(C114&lt;&gt;"",J114&lt;&gt;"",J114&gt;=TUAN!$C$3,J114&lt;=TUAN!$C$3+6),MAX(AB$5:AB113)+1,"")</f>
        <v/>
      </c>
    </row>
    <row r="115" customFormat="false" ht="15" hidden="false" customHeight="false" outlineLevel="0" collapsed="false">
      <c r="A115" s="9" t="str">
        <f aca="false">IF(C115="","","CV"&amp;TEXT(ROW()-5,"000"))</f>
        <v/>
      </c>
      <c r="B115" s="10"/>
      <c r="C115" s="11"/>
      <c r="D115" s="12"/>
      <c r="E115" s="12"/>
      <c r="F115" s="12"/>
      <c r="G115" s="12"/>
      <c r="H115" s="12"/>
      <c r="I115" s="12"/>
      <c r="J115" s="10"/>
      <c r="K115" s="12"/>
      <c r="L115" s="10"/>
      <c r="M115" s="12"/>
      <c r="N115" s="9" t="str">
        <f aca="false">IF(C115="","",IF(AND(H115="Có",I115="Có"),"1. Làm ngay",IF(H115="Có","2. Lên lịch",IF(I115="Có","3. Giao lại","4. Để sau"))))</f>
        <v/>
      </c>
      <c r="O115" s="9" t="str">
        <f aca="true">IF(OR(C115="",J115="",K115="Hoàn thành"),"",J115-TODAY())</f>
        <v/>
      </c>
      <c r="P115" s="9" t="str">
        <f aca="true">IF(C115="","",IF(K115="Hoàn thành",IF(OR(L115="",J115=""),"Xong (thiếu ngày)",IF(L115&lt;=J115,"Xong đúng hạn","Xong trễ")),IF(J115="","Chưa có hạn",IF(J115&lt;TODAY(),"Quá hạn",IF(J115=TODAY(),"Đến hạn hôm nay",IF(J115-TODAY()&lt;=3,"Sắp đến hạn","Trong hạn"))))))</f>
        <v/>
      </c>
      <c r="Q115" s="9" t="str">
        <f aca="false">IF(OR(C115="",J115=""),"",WEEKNUM(J115,21))</f>
        <v/>
      </c>
      <c r="R115" s="2"/>
      <c r="S115" s="9" t="str">
        <f aca="true">IF(AND(C115&lt;&gt;"",K115&lt;&gt;"Hoàn thành",J115&lt;&gt;"",J115&lt;=TODAY()),MAX(S$5:S114)+1,"")</f>
        <v/>
      </c>
      <c r="T115" s="9" t="str">
        <f aca="false">IF(AND(C115&lt;&gt;"",IF(K115="","Chưa làm",K115)="Chưa làm"),MAX(T$5:T114)+1,"")</f>
        <v/>
      </c>
      <c r="U115" s="9" t="str">
        <f aca="false">IF(AND(C115&lt;&gt;"",IF(K115="","Chưa làm",K115)="Đang làm"),MAX(U$5:U114)+1,"")</f>
        <v/>
      </c>
      <c r="V115" s="9" t="str">
        <f aca="false">IF(AND(C115&lt;&gt;"",IF(K115="","Chưa làm",K115)="Chờ duyệt"),MAX(V$5:V114)+1,"")</f>
        <v/>
      </c>
      <c r="W115" s="9" t="str">
        <f aca="false">IF(AND(C115&lt;&gt;"",IF(K115="","Chưa làm",K115)="Hoàn thành"),MAX(W$5:W114)+1,"")</f>
        <v/>
      </c>
      <c r="X115" s="9" t="str">
        <f aca="false">IF(AND(C115&lt;&gt;"",K115&lt;&gt;"Hoàn thành",N115="1. Làm ngay"),MAX(X$5:X114)+1,"")</f>
        <v/>
      </c>
      <c r="Y115" s="9" t="str">
        <f aca="false">IF(AND(C115&lt;&gt;"",K115&lt;&gt;"Hoàn thành",N115="2. Lên lịch"),MAX(Y$5:Y114)+1,"")</f>
        <v/>
      </c>
      <c r="Z115" s="9" t="str">
        <f aca="false">IF(AND(C115&lt;&gt;"",K115&lt;&gt;"Hoàn thành",N115="3. Giao lại"),MAX(Z$5:Z114)+1,"")</f>
        <v/>
      </c>
      <c r="AA115" s="9" t="str">
        <f aca="false">IF(AND(C115&lt;&gt;"",K115&lt;&gt;"Hoàn thành",N115="4. Để sau"),MAX(AA$5:AA114)+1,"")</f>
        <v/>
      </c>
      <c r="AB115" s="9" t="str">
        <f aca="false">IF(AND(C115&lt;&gt;"",J115&lt;&gt;"",J115&gt;=TUAN!$C$3,J115&lt;=TUAN!$C$3+6),MAX(AB$5:AB114)+1,"")</f>
        <v/>
      </c>
    </row>
    <row r="116" customFormat="false" ht="15" hidden="false" customHeight="false" outlineLevel="0" collapsed="false">
      <c r="A116" s="9" t="str">
        <f aca="false">IF(C116="","","CV"&amp;TEXT(ROW()-5,"000"))</f>
        <v/>
      </c>
      <c r="B116" s="10"/>
      <c r="C116" s="11"/>
      <c r="D116" s="12"/>
      <c r="E116" s="12"/>
      <c r="F116" s="12"/>
      <c r="G116" s="12"/>
      <c r="H116" s="12"/>
      <c r="I116" s="12"/>
      <c r="J116" s="10"/>
      <c r="K116" s="12"/>
      <c r="L116" s="10"/>
      <c r="M116" s="12"/>
      <c r="N116" s="9" t="str">
        <f aca="false">IF(C116="","",IF(AND(H116="Có",I116="Có"),"1. Làm ngay",IF(H116="Có","2. Lên lịch",IF(I116="Có","3. Giao lại","4. Để sau"))))</f>
        <v/>
      </c>
      <c r="O116" s="9" t="str">
        <f aca="true">IF(OR(C116="",J116="",K116="Hoàn thành"),"",J116-TODAY())</f>
        <v/>
      </c>
      <c r="P116" s="9" t="str">
        <f aca="true">IF(C116="","",IF(K116="Hoàn thành",IF(OR(L116="",J116=""),"Xong (thiếu ngày)",IF(L116&lt;=J116,"Xong đúng hạn","Xong trễ")),IF(J116="","Chưa có hạn",IF(J116&lt;TODAY(),"Quá hạn",IF(J116=TODAY(),"Đến hạn hôm nay",IF(J116-TODAY()&lt;=3,"Sắp đến hạn","Trong hạn"))))))</f>
        <v/>
      </c>
      <c r="Q116" s="9" t="str">
        <f aca="false">IF(OR(C116="",J116=""),"",WEEKNUM(J116,21))</f>
        <v/>
      </c>
      <c r="R116" s="2"/>
      <c r="S116" s="9" t="str">
        <f aca="true">IF(AND(C116&lt;&gt;"",K116&lt;&gt;"Hoàn thành",J116&lt;&gt;"",J116&lt;=TODAY()),MAX(S$5:S115)+1,"")</f>
        <v/>
      </c>
      <c r="T116" s="9" t="str">
        <f aca="false">IF(AND(C116&lt;&gt;"",IF(K116="","Chưa làm",K116)="Chưa làm"),MAX(T$5:T115)+1,"")</f>
        <v/>
      </c>
      <c r="U116" s="9" t="str">
        <f aca="false">IF(AND(C116&lt;&gt;"",IF(K116="","Chưa làm",K116)="Đang làm"),MAX(U$5:U115)+1,"")</f>
        <v/>
      </c>
      <c r="V116" s="9" t="str">
        <f aca="false">IF(AND(C116&lt;&gt;"",IF(K116="","Chưa làm",K116)="Chờ duyệt"),MAX(V$5:V115)+1,"")</f>
        <v/>
      </c>
      <c r="W116" s="9" t="str">
        <f aca="false">IF(AND(C116&lt;&gt;"",IF(K116="","Chưa làm",K116)="Hoàn thành"),MAX(W$5:W115)+1,"")</f>
        <v/>
      </c>
      <c r="X116" s="9" t="str">
        <f aca="false">IF(AND(C116&lt;&gt;"",K116&lt;&gt;"Hoàn thành",N116="1. Làm ngay"),MAX(X$5:X115)+1,"")</f>
        <v/>
      </c>
      <c r="Y116" s="9" t="str">
        <f aca="false">IF(AND(C116&lt;&gt;"",K116&lt;&gt;"Hoàn thành",N116="2. Lên lịch"),MAX(Y$5:Y115)+1,"")</f>
        <v/>
      </c>
      <c r="Z116" s="9" t="str">
        <f aca="false">IF(AND(C116&lt;&gt;"",K116&lt;&gt;"Hoàn thành",N116="3. Giao lại"),MAX(Z$5:Z115)+1,"")</f>
        <v/>
      </c>
      <c r="AA116" s="9" t="str">
        <f aca="false">IF(AND(C116&lt;&gt;"",K116&lt;&gt;"Hoàn thành",N116="4. Để sau"),MAX(AA$5:AA115)+1,"")</f>
        <v/>
      </c>
      <c r="AB116" s="9" t="str">
        <f aca="false">IF(AND(C116&lt;&gt;"",J116&lt;&gt;"",J116&gt;=TUAN!$C$3,J116&lt;=TUAN!$C$3+6),MAX(AB$5:AB115)+1,"")</f>
        <v/>
      </c>
    </row>
    <row r="117" customFormat="false" ht="15" hidden="false" customHeight="false" outlineLevel="0" collapsed="false">
      <c r="A117" s="9" t="str">
        <f aca="false">IF(C117="","","CV"&amp;TEXT(ROW()-5,"000"))</f>
        <v/>
      </c>
      <c r="B117" s="10"/>
      <c r="C117" s="11"/>
      <c r="D117" s="12"/>
      <c r="E117" s="12"/>
      <c r="F117" s="12"/>
      <c r="G117" s="12"/>
      <c r="H117" s="12"/>
      <c r="I117" s="12"/>
      <c r="J117" s="10"/>
      <c r="K117" s="12"/>
      <c r="L117" s="10"/>
      <c r="M117" s="12"/>
      <c r="N117" s="9" t="str">
        <f aca="false">IF(C117="","",IF(AND(H117="Có",I117="Có"),"1. Làm ngay",IF(H117="Có","2. Lên lịch",IF(I117="Có","3. Giao lại","4. Để sau"))))</f>
        <v/>
      </c>
      <c r="O117" s="9" t="str">
        <f aca="true">IF(OR(C117="",J117="",K117="Hoàn thành"),"",J117-TODAY())</f>
        <v/>
      </c>
      <c r="P117" s="9" t="str">
        <f aca="true">IF(C117="","",IF(K117="Hoàn thành",IF(OR(L117="",J117=""),"Xong (thiếu ngày)",IF(L117&lt;=J117,"Xong đúng hạn","Xong trễ")),IF(J117="","Chưa có hạn",IF(J117&lt;TODAY(),"Quá hạn",IF(J117=TODAY(),"Đến hạn hôm nay",IF(J117-TODAY()&lt;=3,"Sắp đến hạn","Trong hạn"))))))</f>
        <v/>
      </c>
      <c r="Q117" s="9" t="str">
        <f aca="false">IF(OR(C117="",J117=""),"",WEEKNUM(J117,21))</f>
        <v/>
      </c>
      <c r="R117" s="2"/>
      <c r="S117" s="9" t="str">
        <f aca="true">IF(AND(C117&lt;&gt;"",K117&lt;&gt;"Hoàn thành",J117&lt;&gt;"",J117&lt;=TODAY()),MAX(S$5:S116)+1,"")</f>
        <v/>
      </c>
      <c r="T117" s="9" t="str">
        <f aca="false">IF(AND(C117&lt;&gt;"",IF(K117="","Chưa làm",K117)="Chưa làm"),MAX(T$5:T116)+1,"")</f>
        <v/>
      </c>
      <c r="U117" s="9" t="str">
        <f aca="false">IF(AND(C117&lt;&gt;"",IF(K117="","Chưa làm",K117)="Đang làm"),MAX(U$5:U116)+1,"")</f>
        <v/>
      </c>
      <c r="V117" s="9" t="str">
        <f aca="false">IF(AND(C117&lt;&gt;"",IF(K117="","Chưa làm",K117)="Chờ duyệt"),MAX(V$5:V116)+1,"")</f>
        <v/>
      </c>
      <c r="W117" s="9" t="str">
        <f aca="false">IF(AND(C117&lt;&gt;"",IF(K117="","Chưa làm",K117)="Hoàn thành"),MAX(W$5:W116)+1,"")</f>
        <v/>
      </c>
      <c r="X117" s="9" t="str">
        <f aca="false">IF(AND(C117&lt;&gt;"",K117&lt;&gt;"Hoàn thành",N117="1. Làm ngay"),MAX(X$5:X116)+1,"")</f>
        <v/>
      </c>
      <c r="Y117" s="9" t="str">
        <f aca="false">IF(AND(C117&lt;&gt;"",K117&lt;&gt;"Hoàn thành",N117="2. Lên lịch"),MAX(Y$5:Y116)+1,"")</f>
        <v/>
      </c>
      <c r="Z117" s="9" t="str">
        <f aca="false">IF(AND(C117&lt;&gt;"",K117&lt;&gt;"Hoàn thành",N117="3. Giao lại"),MAX(Z$5:Z116)+1,"")</f>
        <v/>
      </c>
      <c r="AA117" s="9" t="str">
        <f aca="false">IF(AND(C117&lt;&gt;"",K117&lt;&gt;"Hoàn thành",N117="4. Để sau"),MAX(AA$5:AA116)+1,"")</f>
        <v/>
      </c>
      <c r="AB117" s="9" t="str">
        <f aca="false">IF(AND(C117&lt;&gt;"",J117&lt;&gt;"",J117&gt;=TUAN!$C$3,J117&lt;=TUAN!$C$3+6),MAX(AB$5:AB116)+1,"")</f>
        <v/>
      </c>
    </row>
    <row r="118" customFormat="false" ht="15" hidden="false" customHeight="false" outlineLevel="0" collapsed="false">
      <c r="A118" s="9" t="str">
        <f aca="false">IF(C118="","","CV"&amp;TEXT(ROW()-5,"000"))</f>
        <v/>
      </c>
      <c r="B118" s="10"/>
      <c r="C118" s="11"/>
      <c r="D118" s="12"/>
      <c r="E118" s="12"/>
      <c r="F118" s="12"/>
      <c r="G118" s="12"/>
      <c r="H118" s="12"/>
      <c r="I118" s="12"/>
      <c r="J118" s="10"/>
      <c r="K118" s="12"/>
      <c r="L118" s="10"/>
      <c r="M118" s="12"/>
      <c r="N118" s="9" t="str">
        <f aca="false">IF(C118="","",IF(AND(H118="Có",I118="Có"),"1. Làm ngay",IF(H118="Có","2. Lên lịch",IF(I118="Có","3. Giao lại","4. Để sau"))))</f>
        <v/>
      </c>
      <c r="O118" s="9" t="str">
        <f aca="true">IF(OR(C118="",J118="",K118="Hoàn thành"),"",J118-TODAY())</f>
        <v/>
      </c>
      <c r="P118" s="9" t="str">
        <f aca="true">IF(C118="","",IF(K118="Hoàn thành",IF(OR(L118="",J118=""),"Xong (thiếu ngày)",IF(L118&lt;=J118,"Xong đúng hạn","Xong trễ")),IF(J118="","Chưa có hạn",IF(J118&lt;TODAY(),"Quá hạn",IF(J118=TODAY(),"Đến hạn hôm nay",IF(J118-TODAY()&lt;=3,"Sắp đến hạn","Trong hạn"))))))</f>
        <v/>
      </c>
      <c r="Q118" s="9" t="str">
        <f aca="false">IF(OR(C118="",J118=""),"",WEEKNUM(J118,21))</f>
        <v/>
      </c>
      <c r="R118" s="2"/>
      <c r="S118" s="9" t="str">
        <f aca="true">IF(AND(C118&lt;&gt;"",K118&lt;&gt;"Hoàn thành",J118&lt;&gt;"",J118&lt;=TODAY()),MAX(S$5:S117)+1,"")</f>
        <v/>
      </c>
      <c r="T118" s="9" t="str">
        <f aca="false">IF(AND(C118&lt;&gt;"",IF(K118="","Chưa làm",K118)="Chưa làm"),MAX(T$5:T117)+1,"")</f>
        <v/>
      </c>
      <c r="U118" s="9" t="str">
        <f aca="false">IF(AND(C118&lt;&gt;"",IF(K118="","Chưa làm",K118)="Đang làm"),MAX(U$5:U117)+1,"")</f>
        <v/>
      </c>
      <c r="V118" s="9" t="str">
        <f aca="false">IF(AND(C118&lt;&gt;"",IF(K118="","Chưa làm",K118)="Chờ duyệt"),MAX(V$5:V117)+1,"")</f>
        <v/>
      </c>
      <c r="W118" s="9" t="str">
        <f aca="false">IF(AND(C118&lt;&gt;"",IF(K118="","Chưa làm",K118)="Hoàn thành"),MAX(W$5:W117)+1,"")</f>
        <v/>
      </c>
      <c r="X118" s="9" t="str">
        <f aca="false">IF(AND(C118&lt;&gt;"",K118&lt;&gt;"Hoàn thành",N118="1. Làm ngay"),MAX(X$5:X117)+1,"")</f>
        <v/>
      </c>
      <c r="Y118" s="9" t="str">
        <f aca="false">IF(AND(C118&lt;&gt;"",K118&lt;&gt;"Hoàn thành",N118="2. Lên lịch"),MAX(Y$5:Y117)+1,"")</f>
        <v/>
      </c>
      <c r="Z118" s="9" t="str">
        <f aca="false">IF(AND(C118&lt;&gt;"",K118&lt;&gt;"Hoàn thành",N118="3. Giao lại"),MAX(Z$5:Z117)+1,"")</f>
        <v/>
      </c>
      <c r="AA118" s="9" t="str">
        <f aca="false">IF(AND(C118&lt;&gt;"",K118&lt;&gt;"Hoàn thành",N118="4. Để sau"),MAX(AA$5:AA117)+1,"")</f>
        <v/>
      </c>
      <c r="AB118" s="9" t="str">
        <f aca="false">IF(AND(C118&lt;&gt;"",J118&lt;&gt;"",J118&gt;=TUAN!$C$3,J118&lt;=TUAN!$C$3+6),MAX(AB$5:AB117)+1,"")</f>
        <v/>
      </c>
    </row>
    <row r="119" customFormat="false" ht="15" hidden="false" customHeight="false" outlineLevel="0" collapsed="false">
      <c r="A119" s="9" t="str">
        <f aca="false">IF(C119="","","CV"&amp;TEXT(ROW()-5,"000"))</f>
        <v/>
      </c>
      <c r="B119" s="10"/>
      <c r="C119" s="11"/>
      <c r="D119" s="12"/>
      <c r="E119" s="12"/>
      <c r="F119" s="12"/>
      <c r="G119" s="12"/>
      <c r="H119" s="12"/>
      <c r="I119" s="12"/>
      <c r="J119" s="10"/>
      <c r="K119" s="12"/>
      <c r="L119" s="10"/>
      <c r="M119" s="12"/>
      <c r="N119" s="9" t="str">
        <f aca="false">IF(C119="","",IF(AND(H119="Có",I119="Có"),"1. Làm ngay",IF(H119="Có","2. Lên lịch",IF(I119="Có","3. Giao lại","4. Để sau"))))</f>
        <v/>
      </c>
      <c r="O119" s="9" t="str">
        <f aca="true">IF(OR(C119="",J119="",K119="Hoàn thành"),"",J119-TODAY())</f>
        <v/>
      </c>
      <c r="P119" s="9" t="str">
        <f aca="true">IF(C119="","",IF(K119="Hoàn thành",IF(OR(L119="",J119=""),"Xong (thiếu ngày)",IF(L119&lt;=J119,"Xong đúng hạn","Xong trễ")),IF(J119="","Chưa có hạn",IF(J119&lt;TODAY(),"Quá hạn",IF(J119=TODAY(),"Đến hạn hôm nay",IF(J119-TODAY()&lt;=3,"Sắp đến hạn","Trong hạn"))))))</f>
        <v/>
      </c>
      <c r="Q119" s="9" t="str">
        <f aca="false">IF(OR(C119="",J119=""),"",WEEKNUM(J119,21))</f>
        <v/>
      </c>
      <c r="R119" s="2"/>
      <c r="S119" s="9" t="str">
        <f aca="true">IF(AND(C119&lt;&gt;"",K119&lt;&gt;"Hoàn thành",J119&lt;&gt;"",J119&lt;=TODAY()),MAX(S$5:S118)+1,"")</f>
        <v/>
      </c>
      <c r="T119" s="9" t="str">
        <f aca="false">IF(AND(C119&lt;&gt;"",IF(K119="","Chưa làm",K119)="Chưa làm"),MAX(T$5:T118)+1,"")</f>
        <v/>
      </c>
      <c r="U119" s="9" t="str">
        <f aca="false">IF(AND(C119&lt;&gt;"",IF(K119="","Chưa làm",K119)="Đang làm"),MAX(U$5:U118)+1,"")</f>
        <v/>
      </c>
      <c r="V119" s="9" t="str">
        <f aca="false">IF(AND(C119&lt;&gt;"",IF(K119="","Chưa làm",K119)="Chờ duyệt"),MAX(V$5:V118)+1,"")</f>
        <v/>
      </c>
      <c r="W119" s="9" t="str">
        <f aca="false">IF(AND(C119&lt;&gt;"",IF(K119="","Chưa làm",K119)="Hoàn thành"),MAX(W$5:W118)+1,"")</f>
        <v/>
      </c>
      <c r="X119" s="9" t="str">
        <f aca="false">IF(AND(C119&lt;&gt;"",K119&lt;&gt;"Hoàn thành",N119="1. Làm ngay"),MAX(X$5:X118)+1,"")</f>
        <v/>
      </c>
      <c r="Y119" s="9" t="str">
        <f aca="false">IF(AND(C119&lt;&gt;"",K119&lt;&gt;"Hoàn thành",N119="2. Lên lịch"),MAX(Y$5:Y118)+1,"")</f>
        <v/>
      </c>
      <c r="Z119" s="9" t="str">
        <f aca="false">IF(AND(C119&lt;&gt;"",K119&lt;&gt;"Hoàn thành",N119="3. Giao lại"),MAX(Z$5:Z118)+1,"")</f>
        <v/>
      </c>
      <c r="AA119" s="9" t="str">
        <f aca="false">IF(AND(C119&lt;&gt;"",K119&lt;&gt;"Hoàn thành",N119="4. Để sau"),MAX(AA$5:AA118)+1,"")</f>
        <v/>
      </c>
      <c r="AB119" s="9" t="str">
        <f aca="false">IF(AND(C119&lt;&gt;"",J119&lt;&gt;"",J119&gt;=TUAN!$C$3,J119&lt;=TUAN!$C$3+6),MAX(AB$5:AB118)+1,"")</f>
        <v/>
      </c>
    </row>
    <row r="120" customFormat="false" ht="15" hidden="false" customHeight="false" outlineLevel="0" collapsed="false">
      <c r="A120" s="9" t="str">
        <f aca="false">IF(C120="","","CV"&amp;TEXT(ROW()-5,"000"))</f>
        <v/>
      </c>
      <c r="B120" s="10"/>
      <c r="C120" s="11"/>
      <c r="D120" s="12"/>
      <c r="E120" s="12"/>
      <c r="F120" s="12"/>
      <c r="G120" s="12"/>
      <c r="H120" s="12"/>
      <c r="I120" s="12"/>
      <c r="J120" s="10"/>
      <c r="K120" s="12"/>
      <c r="L120" s="10"/>
      <c r="M120" s="12"/>
      <c r="N120" s="9" t="str">
        <f aca="false">IF(C120="","",IF(AND(H120="Có",I120="Có"),"1. Làm ngay",IF(H120="Có","2. Lên lịch",IF(I120="Có","3. Giao lại","4. Để sau"))))</f>
        <v/>
      </c>
      <c r="O120" s="9" t="str">
        <f aca="true">IF(OR(C120="",J120="",K120="Hoàn thành"),"",J120-TODAY())</f>
        <v/>
      </c>
      <c r="P120" s="9" t="str">
        <f aca="true">IF(C120="","",IF(K120="Hoàn thành",IF(OR(L120="",J120=""),"Xong (thiếu ngày)",IF(L120&lt;=J120,"Xong đúng hạn","Xong trễ")),IF(J120="","Chưa có hạn",IF(J120&lt;TODAY(),"Quá hạn",IF(J120=TODAY(),"Đến hạn hôm nay",IF(J120-TODAY()&lt;=3,"Sắp đến hạn","Trong hạn"))))))</f>
        <v/>
      </c>
      <c r="Q120" s="9" t="str">
        <f aca="false">IF(OR(C120="",J120=""),"",WEEKNUM(J120,21))</f>
        <v/>
      </c>
      <c r="R120" s="2"/>
      <c r="S120" s="9" t="str">
        <f aca="true">IF(AND(C120&lt;&gt;"",K120&lt;&gt;"Hoàn thành",J120&lt;&gt;"",J120&lt;=TODAY()),MAX(S$5:S119)+1,"")</f>
        <v/>
      </c>
      <c r="T120" s="9" t="str">
        <f aca="false">IF(AND(C120&lt;&gt;"",IF(K120="","Chưa làm",K120)="Chưa làm"),MAX(T$5:T119)+1,"")</f>
        <v/>
      </c>
      <c r="U120" s="9" t="str">
        <f aca="false">IF(AND(C120&lt;&gt;"",IF(K120="","Chưa làm",K120)="Đang làm"),MAX(U$5:U119)+1,"")</f>
        <v/>
      </c>
      <c r="V120" s="9" t="str">
        <f aca="false">IF(AND(C120&lt;&gt;"",IF(K120="","Chưa làm",K120)="Chờ duyệt"),MAX(V$5:V119)+1,"")</f>
        <v/>
      </c>
      <c r="W120" s="9" t="str">
        <f aca="false">IF(AND(C120&lt;&gt;"",IF(K120="","Chưa làm",K120)="Hoàn thành"),MAX(W$5:W119)+1,"")</f>
        <v/>
      </c>
      <c r="X120" s="9" t="str">
        <f aca="false">IF(AND(C120&lt;&gt;"",K120&lt;&gt;"Hoàn thành",N120="1. Làm ngay"),MAX(X$5:X119)+1,"")</f>
        <v/>
      </c>
      <c r="Y120" s="9" t="str">
        <f aca="false">IF(AND(C120&lt;&gt;"",K120&lt;&gt;"Hoàn thành",N120="2. Lên lịch"),MAX(Y$5:Y119)+1,"")</f>
        <v/>
      </c>
      <c r="Z120" s="9" t="str">
        <f aca="false">IF(AND(C120&lt;&gt;"",K120&lt;&gt;"Hoàn thành",N120="3. Giao lại"),MAX(Z$5:Z119)+1,"")</f>
        <v/>
      </c>
      <c r="AA120" s="9" t="str">
        <f aca="false">IF(AND(C120&lt;&gt;"",K120&lt;&gt;"Hoàn thành",N120="4. Để sau"),MAX(AA$5:AA119)+1,"")</f>
        <v/>
      </c>
      <c r="AB120" s="9" t="str">
        <f aca="false">IF(AND(C120&lt;&gt;"",J120&lt;&gt;"",J120&gt;=TUAN!$C$3,J120&lt;=TUAN!$C$3+6),MAX(AB$5:AB119)+1,"")</f>
        <v/>
      </c>
    </row>
    <row r="121" customFormat="false" ht="15" hidden="false" customHeight="false" outlineLevel="0" collapsed="false">
      <c r="A121" s="9" t="str">
        <f aca="false">IF(C121="","","CV"&amp;TEXT(ROW()-5,"000"))</f>
        <v/>
      </c>
      <c r="B121" s="10"/>
      <c r="C121" s="11"/>
      <c r="D121" s="12"/>
      <c r="E121" s="12"/>
      <c r="F121" s="12"/>
      <c r="G121" s="12"/>
      <c r="H121" s="12"/>
      <c r="I121" s="12"/>
      <c r="J121" s="10"/>
      <c r="K121" s="12"/>
      <c r="L121" s="10"/>
      <c r="M121" s="12"/>
      <c r="N121" s="9" t="str">
        <f aca="false">IF(C121="","",IF(AND(H121="Có",I121="Có"),"1. Làm ngay",IF(H121="Có","2. Lên lịch",IF(I121="Có","3. Giao lại","4. Để sau"))))</f>
        <v/>
      </c>
      <c r="O121" s="9" t="str">
        <f aca="true">IF(OR(C121="",J121="",K121="Hoàn thành"),"",J121-TODAY())</f>
        <v/>
      </c>
      <c r="P121" s="9" t="str">
        <f aca="true">IF(C121="","",IF(K121="Hoàn thành",IF(OR(L121="",J121=""),"Xong (thiếu ngày)",IF(L121&lt;=J121,"Xong đúng hạn","Xong trễ")),IF(J121="","Chưa có hạn",IF(J121&lt;TODAY(),"Quá hạn",IF(J121=TODAY(),"Đến hạn hôm nay",IF(J121-TODAY()&lt;=3,"Sắp đến hạn","Trong hạn"))))))</f>
        <v/>
      </c>
      <c r="Q121" s="9" t="str">
        <f aca="false">IF(OR(C121="",J121=""),"",WEEKNUM(J121,21))</f>
        <v/>
      </c>
      <c r="R121" s="2"/>
      <c r="S121" s="9" t="str">
        <f aca="true">IF(AND(C121&lt;&gt;"",K121&lt;&gt;"Hoàn thành",J121&lt;&gt;"",J121&lt;=TODAY()),MAX(S$5:S120)+1,"")</f>
        <v/>
      </c>
      <c r="T121" s="9" t="str">
        <f aca="false">IF(AND(C121&lt;&gt;"",IF(K121="","Chưa làm",K121)="Chưa làm"),MAX(T$5:T120)+1,"")</f>
        <v/>
      </c>
      <c r="U121" s="9" t="str">
        <f aca="false">IF(AND(C121&lt;&gt;"",IF(K121="","Chưa làm",K121)="Đang làm"),MAX(U$5:U120)+1,"")</f>
        <v/>
      </c>
      <c r="V121" s="9" t="str">
        <f aca="false">IF(AND(C121&lt;&gt;"",IF(K121="","Chưa làm",K121)="Chờ duyệt"),MAX(V$5:V120)+1,"")</f>
        <v/>
      </c>
      <c r="W121" s="9" t="str">
        <f aca="false">IF(AND(C121&lt;&gt;"",IF(K121="","Chưa làm",K121)="Hoàn thành"),MAX(W$5:W120)+1,"")</f>
        <v/>
      </c>
      <c r="X121" s="9" t="str">
        <f aca="false">IF(AND(C121&lt;&gt;"",K121&lt;&gt;"Hoàn thành",N121="1. Làm ngay"),MAX(X$5:X120)+1,"")</f>
        <v/>
      </c>
      <c r="Y121" s="9" t="str">
        <f aca="false">IF(AND(C121&lt;&gt;"",K121&lt;&gt;"Hoàn thành",N121="2. Lên lịch"),MAX(Y$5:Y120)+1,"")</f>
        <v/>
      </c>
      <c r="Z121" s="9" t="str">
        <f aca="false">IF(AND(C121&lt;&gt;"",K121&lt;&gt;"Hoàn thành",N121="3. Giao lại"),MAX(Z$5:Z120)+1,"")</f>
        <v/>
      </c>
      <c r="AA121" s="9" t="str">
        <f aca="false">IF(AND(C121&lt;&gt;"",K121&lt;&gt;"Hoàn thành",N121="4. Để sau"),MAX(AA$5:AA120)+1,"")</f>
        <v/>
      </c>
      <c r="AB121" s="9" t="str">
        <f aca="false">IF(AND(C121&lt;&gt;"",J121&lt;&gt;"",J121&gt;=TUAN!$C$3,J121&lt;=TUAN!$C$3+6),MAX(AB$5:AB120)+1,"")</f>
        <v/>
      </c>
    </row>
    <row r="122" customFormat="false" ht="15" hidden="false" customHeight="false" outlineLevel="0" collapsed="false">
      <c r="A122" s="9" t="str">
        <f aca="false">IF(C122="","","CV"&amp;TEXT(ROW()-5,"000"))</f>
        <v/>
      </c>
      <c r="B122" s="10"/>
      <c r="C122" s="11"/>
      <c r="D122" s="12"/>
      <c r="E122" s="12"/>
      <c r="F122" s="12"/>
      <c r="G122" s="12"/>
      <c r="H122" s="12"/>
      <c r="I122" s="12"/>
      <c r="J122" s="10"/>
      <c r="K122" s="12"/>
      <c r="L122" s="10"/>
      <c r="M122" s="12"/>
      <c r="N122" s="9" t="str">
        <f aca="false">IF(C122="","",IF(AND(H122="Có",I122="Có"),"1. Làm ngay",IF(H122="Có","2. Lên lịch",IF(I122="Có","3. Giao lại","4. Để sau"))))</f>
        <v/>
      </c>
      <c r="O122" s="9" t="str">
        <f aca="true">IF(OR(C122="",J122="",K122="Hoàn thành"),"",J122-TODAY())</f>
        <v/>
      </c>
      <c r="P122" s="9" t="str">
        <f aca="true">IF(C122="","",IF(K122="Hoàn thành",IF(OR(L122="",J122=""),"Xong (thiếu ngày)",IF(L122&lt;=J122,"Xong đúng hạn","Xong trễ")),IF(J122="","Chưa có hạn",IF(J122&lt;TODAY(),"Quá hạn",IF(J122=TODAY(),"Đến hạn hôm nay",IF(J122-TODAY()&lt;=3,"Sắp đến hạn","Trong hạn"))))))</f>
        <v/>
      </c>
      <c r="Q122" s="9" t="str">
        <f aca="false">IF(OR(C122="",J122=""),"",WEEKNUM(J122,21))</f>
        <v/>
      </c>
      <c r="R122" s="2"/>
      <c r="S122" s="9" t="str">
        <f aca="true">IF(AND(C122&lt;&gt;"",K122&lt;&gt;"Hoàn thành",J122&lt;&gt;"",J122&lt;=TODAY()),MAX(S$5:S121)+1,"")</f>
        <v/>
      </c>
      <c r="T122" s="9" t="str">
        <f aca="false">IF(AND(C122&lt;&gt;"",IF(K122="","Chưa làm",K122)="Chưa làm"),MAX(T$5:T121)+1,"")</f>
        <v/>
      </c>
      <c r="U122" s="9" t="str">
        <f aca="false">IF(AND(C122&lt;&gt;"",IF(K122="","Chưa làm",K122)="Đang làm"),MAX(U$5:U121)+1,"")</f>
        <v/>
      </c>
      <c r="V122" s="9" t="str">
        <f aca="false">IF(AND(C122&lt;&gt;"",IF(K122="","Chưa làm",K122)="Chờ duyệt"),MAX(V$5:V121)+1,"")</f>
        <v/>
      </c>
      <c r="W122" s="9" t="str">
        <f aca="false">IF(AND(C122&lt;&gt;"",IF(K122="","Chưa làm",K122)="Hoàn thành"),MAX(W$5:W121)+1,"")</f>
        <v/>
      </c>
      <c r="X122" s="9" t="str">
        <f aca="false">IF(AND(C122&lt;&gt;"",K122&lt;&gt;"Hoàn thành",N122="1. Làm ngay"),MAX(X$5:X121)+1,"")</f>
        <v/>
      </c>
      <c r="Y122" s="9" t="str">
        <f aca="false">IF(AND(C122&lt;&gt;"",K122&lt;&gt;"Hoàn thành",N122="2. Lên lịch"),MAX(Y$5:Y121)+1,"")</f>
        <v/>
      </c>
      <c r="Z122" s="9" t="str">
        <f aca="false">IF(AND(C122&lt;&gt;"",K122&lt;&gt;"Hoàn thành",N122="3. Giao lại"),MAX(Z$5:Z121)+1,"")</f>
        <v/>
      </c>
      <c r="AA122" s="9" t="str">
        <f aca="false">IF(AND(C122&lt;&gt;"",K122&lt;&gt;"Hoàn thành",N122="4. Để sau"),MAX(AA$5:AA121)+1,"")</f>
        <v/>
      </c>
      <c r="AB122" s="9" t="str">
        <f aca="false">IF(AND(C122&lt;&gt;"",J122&lt;&gt;"",J122&gt;=TUAN!$C$3,J122&lt;=TUAN!$C$3+6),MAX(AB$5:AB121)+1,"")</f>
        <v/>
      </c>
    </row>
    <row r="123" customFormat="false" ht="15" hidden="false" customHeight="false" outlineLevel="0" collapsed="false">
      <c r="A123" s="9" t="str">
        <f aca="false">IF(C123="","","CV"&amp;TEXT(ROW()-5,"000"))</f>
        <v/>
      </c>
      <c r="B123" s="10"/>
      <c r="C123" s="11"/>
      <c r="D123" s="12"/>
      <c r="E123" s="12"/>
      <c r="F123" s="12"/>
      <c r="G123" s="12"/>
      <c r="H123" s="12"/>
      <c r="I123" s="12"/>
      <c r="J123" s="10"/>
      <c r="K123" s="12"/>
      <c r="L123" s="10"/>
      <c r="M123" s="12"/>
      <c r="N123" s="9" t="str">
        <f aca="false">IF(C123="","",IF(AND(H123="Có",I123="Có"),"1. Làm ngay",IF(H123="Có","2. Lên lịch",IF(I123="Có","3. Giao lại","4. Để sau"))))</f>
        <v/>
      </c>
      <c r="O123" s="9" t="str">
        <f aca="true">IF(OR(C123="",J123="",K123="Hoàn thành"),"",J123-TODAY())</f>
        <v/>
      </c>
      <c r="P123" s="9" t="str">
        <f aca="true">IF(C123="","",IF(K123="Hoàn thành",IF(OR(L123="",J123=""),"Xong (thiếu ngày)",IF(L123&lt;=J123,"Xong đúng hạn","Xong trễ")),IF(J123="","Chưa có hạn",IF(J123&lt;TODAY(),"Quá hạn",IF(J123=TODAY(),"Đến hạn hôm nay",IF(J123-TODAY()&lt;=3,"Sắp đến hạn","Trong hạn"))))))</f>
        <v/>
      </c>
      <c r="Q123" s="9" t="str">
        <f aca="false">IF(OR(C123="",J123=""),"",WEEKNUM(J123,21))</f>
        <v/>
      </c>
      <c r="R123" s="2"/>
      <c r="S123" s="9" t="str">
        <f aca="true">IF(AND(C123&lt;&gt;"",K123&lt;&gt;"Hoàn thành",J123&lt;&gt;"",J123&lt;=TODAY()),MAX(S$5:S122)+1,"")</f>
        <v/>
      </c>
      <c r="T123" s="9" t="str">
        <f aca="false">IF(AND(C123&lt;&gt;"",IF(K123="","Chưa làm",K123)="Chưa làm"),MAX(T$5:T122)+1,"")</f>
        <v/>
      </c>
      <c r="U123" s="9" t="str">
        <f aca="false">IF(AND(C123&lt;&gt;"",IF(K123="","Chưa làm",K123)="Đang làm"),MAX(U$5:U122)+1,"")</f>
        <v/>
      </c>
      <c r="V123" s="9" t="str">
        <f aca="false">IF(AND(C123&lt;&gt;"",IF(K123="","Chưa làm",K123)="Chờ duyệt"),MAX(V$5:V122)+1,"")</f>
        <v/>
      </c>
      <c r="W123" s="9" t="str">
        <f aca="false">IF(AND(C123&lt;&gt;"",IF(K123="","Chưa làm",K123)="Hoàn thành"),MAX(W$5:W122)+1,"")</f>
        <v/>
      </c>
      <c r="X123" s="9" t="str">
        <f aca="false">IF(AND(C123&lt;&gt;"",K123&lt;&gt;"Hoàn thành",N123="1. Làm ngay"),MAX(X$5:X122)+1,"")</f>
        <v/>
      </c>
      <c r="Y123" s="9" t="str">
        <f aca="false">IF(AND(C123&lt;&gt;"",K123&lt;&gt;"Hoàn thành",N123="2. Lên lịch"),MAX(Y$5:Y122)+1,"")</f>
        <v/>
      </c>
      <c r="Z123" s="9" t="str">
        <f aca="false">IF(AND(C123&lt;&gt;"",K123&lt;&gt;"Hoàn thành",N123="3. Giao lại"),MAX(Z$5:Z122)+1,"")</f>
        <v/>
      </c>
      <c r="AA123" s="9" t="str">
        <f aca="false">IF(AND(C123&lt;&gt;"",K123&lt;&gt;"Hoàn thành",N123="4. Để sau"),MAX(AA$5:AA122)+1,"")</f>
        <v/>
      </c>
      <c r="AB123" s="9" t="str">
        <f aca="false">IF(AND(C123&lt;&gt;"",J123&lt;&gt;"",J123&gt;=TUAN!$C$3,J123&lt;=TUAN!$C$3+6),MAX(AB$5:AB122)+1,"")</f>
        <v/>
      </c>
    </row>
    <row r="124" customFormat="false" ht="15" hidden="false" customHeight="false" outlineLevel="0" collapsed="false">
      <c r="A124" s="9" t="str">
        <f aca="false">IF(C124="","","CV"&amp;TEXT(ROW()-5,"000"))</f>
        <v/>
      </c>
      <c r="B124" s="10"/>
      <c r="C124" s="11"/>
      <c r="D124" s="12"/>
      <c r="E124" s="12"/>
      <c r="F124" s="12"/>
      <c r="G124" s="12"/>
      <c r="H124" s="12"/>
      <c r="I124" s="12"/>
      <c r="J124" s="10"/>
      <c r="K124" s="12"/>
      <c r="L124" s="10"/>
      <c r="M124" s="12"/>
      <c r="N124" s="9" t="str">
        <f aca="false">IF(C124="","",IF(AND(H124="Có",I124="Có"),"1. Làm ngay",IF(H124="Có","2. Lên lịch",IF(I124="Có","3. Giao lại","4. Để sau"))))</f>
        <v/>
      </c>
      <c r="O124" s="9" t="str">
        <f aca="true">IF(OR(C124="",J124="",K124="Hoàn thành"),"",J124-TODAY())</f>
        <v/>
      </c>
      <c r="P124" s="9" t="str">
        <f aca="true">IF(C124="","",IF(K124="Hoàn thành",IF(OR(L124="",J124=""),"Xong (thiếu ngày)",IF(L124&lt;=J124,"Xong đúng hạn","Xong trễ")),IF(J124="","Chưa có hạn",IF(J124&lt;TODAY(),"Quá hạn",IF(J124=TODAY(),"Đến hạn hôm nay",IF(J124-TODAY()&lt;=3,"Sắp đến hạn","Trong hạn"))))))</f>
        <v/>
      </c>
      <c r="Q124" s="9" t="str">
        <f aca="false">IF(OR(C124="",J124=""),"",WEEKNUM(J124,21))</f>
        <v/>
      </c>
      <c r="R124" s="2"/>
      <c r="S124" s="9" t="str">
        <f aca="true">IF(AND(C124&lt;&gt;"",K124&lt;&gt;"Hoàn thành",J124&lt;&gt;"",J124&lt;=TODAY()),MAX(S$5:S123)+1,"")</f>
        <v/>
      </c>
      <c r="T124" s="9" t="str">
        <f aca="false">IF(AND(C124&lt;&gt;"",IF(K124="","Chưa làm",K124)="Chưa làm"),MAX(T$5:T123)+1,"")</f>
        <v/>
      </c>
      <c r="U124" s="9" t="str">
        <f aca="false">IF(AND(C124&lt;&gt;"",IF(K124="","Chưa làm",K124)="Đang làm"),MAX(U$5:U123)+1,"")</f>
        <v/>
      </c>
      <c r="V124" s="9" t="str">
        <f aca="false">IF(AND(C124&lt;&gt;"",IF(K124="","Chưa làm",K124)="Chờ duyệt"),MAX(V$5:V123)+1,"")</f>
        <v/>
      </c>
      <c r="W124" s="9" t="str">
        <f aca="false">IF(AND(C124&lt;&gt;"",IF(K124="","Chưa làm",K124)="Hoàn thành"),MAX(W$5:W123)+1,"")</f>
        <v/>
      </c>
      <c r="X124" s="9" t="str">
        <f aca="false">IF(AND(C124&lt;&gt;"",K124&lt;&gt;"Hoàn thành",N124="1. Làm ngay"),MAX(X$5:X123)+1,"")</f>
        <v/>
      </c>
      <c r="Y124" s="9" t="str">
        <f aca="false">IF(AND(C124&lt;&gt;"",K124&lt;&gt;"Hoàn thành",N124="2. Lên lịch"),MAX(Y$5:Y123)+1,"")</f>
        <v/>
      </c>
      <c r="Z124" s="9" t="str">
        <f aca="false">IF(AND(C124&lt;&gt;"",K124&lt;&gt;"Hoàn thành",N124="3. Giao lại"),MAX(Z$5:Z123)+1,"")</f>
        <v/>
      </c>
      <c r="AA124" s="9" t="str">
        <f aca="false">IF(AND(C124&lt;&gt;"",K124&lt;&gt;"Hoàn thành",N124="4. Để sau"),MAX(AA$5:AA123)+1,"")</f>
        <v/>
      </c>
      <c r="AB124" s="9" t="str">
        <f aca="false">IF(AND(C124&lt;&gt;"",J124&lt;&gt;"",J124&gt;=TUAN!$C$3,J124&lt;=TUAN!$C$3+6),MAX(AB$5:AB123)+1,"")</f>
        <v/>
      </c>
    </row>
    <row r="125" customFormat="false" ht="15" hidden="false" customHeight="false" outlineLevel="0" collapsed="false">
      <c r="A125" s="9" t="str">
        <f aca="false">IF(C125="","","CV"&amp;TEXT(ROW()-5,"000"))</f>
        <v/>
      </c>
      <c r="B125" s="10"/>
      <c r="C125" s="11"/>
      <c r="D125" s="12"/>
      <c r="E125" s="12"/>
      <c r="F125" s="12"/>
      <c r="G125" s="12"/>
      <c r="H125" s="12"/>
      <c r="I125" s="12"/>
      <c r="J125" s="10"/>
      <c r="K125" s="12"/>
      <c r="L125" s="10"/>
      <c r="M125" s="12"/>
      <c r="N125" s="9" t="str">
        <f aca="false">IF(C125="","",IF(AND(H125="Có",I125="Có"),"1. Làm ngay",IF(H125="Có","2. Lên lịch",IF(I125="Có","3. Giao lại","4. Để sau"))))</f>
        <v/>
      </c>
      <c r="O125" s="9" t="str">
        <f aca="true">IF(OR(C125="",J125="",K125="Hoàn thành"),"",J125-TODAY())</f>
        <v/>
      </c>
      <c r="P125" s="9" t="str">
        <f aca="true">IF(C125="","",IF(K125="Hoàn thành",IF(OR(L125="",J125=""),"Xong (thiếu ngày)",IF(L125&lt;=J125,"Xong đúng hạn","Xong trễ")),IF(J125="","Chưa có hạn",IF(J125&lt;TODAY(),"Quá hạn",IF(J125=TODAY(),"Đến hạn hôm nay",IF(J125-TODAY()&lt;=3,"Sắp đến hạn","Trong hạn"))))))</f>
        <v/>
      </c>
      <c r="Q125" s="9" t="str">
        <f aca="false">IF(OR(C125="",J125=""),"",WEEKNUM(J125,21))</f>
        <v/>
      </c>
      <c r="R125" s="2"/>
      <c r="S125" s="9" t="str">
        <f aca="true">IF(AND(C125&lt;&gt;"",K125&lt;&gt;"Hoàn thành",J125&lt;&gt;"",J125&lt;=TODAY()),MAX(S$5:S124)+1,"")</f>
        <v/>
      </c>
      <c r="T125" s="9" t="str">
        <f aca="false">IF(AND(C125&lt;&gt;"",IF(K125="","Chưa làm",K125)="Chưa làm"),MAX(T$5:T124)+1,"")</f>
        <v/>
      </c>
      <c r="U125" s="9" t="str">
        <f aca="false">IF(AND(C125&lt;&gt;"",IF(K125="","Chưa làm",K125)="Đang làm"),MAX(U$5:U124)+1,"")</f>
        <v/>
      </c>
      <c r="V125" s="9" t="str">
        <f aca="false">IF(AND(C125&lt;&gt;"",IF(K125="","Chưa làm",K125)="Chờ duyệt"),MAX(V$5:V124)+1,"")</f>
        <v/>
      </c>
      <c r="W125" s="9" t="str">
        <f aca="false">IF(AND(C125&lt;&gt;"",IF(K125="","Chưa làm",K125)="Hoàn thành"),MAX(W$5:W124)+1,"")</f>
        <v/>
      </c>
      <c r="X125" s="9" t="str">
        <f aca="false">IF(AND(C125&lt;&gt;"",K125&lt;&gt;"Hoàn thành",N125="1. Làm ngay"),MAX(X$5:X124)+1,"")</f>
        <v/>
      </c>
      <c r="Y125" s="9" t="str">
        <f aca="false">IF(AND(C125&lt;&gt;"",K125&lt;&gt;"Hoàn thành",N125="2. Lên lịch"),MAX(Y$5:Y124)+1,"")</f>
        <v/>
      </c>
      <c r="Z125" s="9" t="str">
        <f aca="false">IF(AND(C125&lt;&gt;"",K125&lt;&gt;"Hoàn thành",N125="3. Giao lại"),MAX(Z$5:Z124)+1,"")</f>
        <v/>
      </c>
      <c r="AA125" s="9" t="str">
        <f aca="false">IF(AND(C125&lt;&gt;"",K125&lt;&gt;"Hoàn thành",N125="4. Để sau"),MAX(AA$5:AA124)+1,"")</f>
        <v/>
      </c>
      <c r="AB125" s="9" t="str">
        <f aca="false">IF(AND(C125&lt;&gt;"",J125&lt;&gt;"",J125&gt;=TUAN!$C$3,J125&lt;=TUAN!$C$3+6),MAX(AB$5:AB124)+1,"")</f>
        <v/>
      </c>
    </row>
    <row r="126" customFormat="false" ht="15" hidden="false" customHeight="false" outlineLevel="0" collapsed="false">
      <c r="A126" s="9" t="str">
        <f aca="false">IF(C126="","","CV"&amp;TEXT(ROW()-5,"000"))</f>
        <v/>
      </c>
      <c r="B126" s="10"/>
      <c r="C126" s="11"/>
      <c r="D126" s="12"/>
      <c r="E126" s="12"/>
      <c r="F126" s="12"/>
      <c r="G126" s="12"/>
      <c r="H126" s="12"/>
      <c r="I126" s="12"/>
      <c r="J126" s="10"/>
      <c r="K126" s="12"/>
      <c r="L126" s="10"/>
      <c r="M126" s="12"/>
      <c r="N126" s="9" t="str">
        <f aca="false">IF(C126="","",IF(AND(H126="Có",I126="Có"),"1. Làm ngay",IF(H126="Có","2. Lên lịch",IF(I126="Có","3. Giao lại","4. Để sau"))))</f>
        <v/>
      </c>
      <c r="O126" s="9" t="str">
        <f aca="true">IF(OR(C126="",J126="",K126="Hoàn thành"),"",J126-TODAY())</f>
        <v/>
      </c>
      <c r="P126" s="9" t="str">
        <f aca="true">IF(C126="","",IF(K126="Hoàn thành",IF(OR(L126="",J126=""),"Xong (thiếu ngày)",IF(L126&lt;=J126,"Xong đúng hạn","Xong trễ")),IF(J126="","Chưa có hạn",IF(J126&lt;TODAY(),"Quá hạn",IF(J126=TODAY(),"Đến hạn hôm nay",IF(J126-TODAY()&lt;=3,"Sắp đến hạn","Trong hạn"))))))</f>
        <v/>
      </c>
      <c r="Q126" s="9" t="str">
        <f aca="false">IF(OR(C126="",J126=""),"",WEEKNUM(J126,21))</f>
        <v/>
      </c>
      <c r="R126" s="2"/>
      <c r="S126" s="9" t="str">
        <f aca="true">IF(AND(C126&lt;&gt;"",K126&lt;&gt;"Hoàn thành",J126&lt;&gt;"",J126&lt;=TODAY()),MAX(S$5:S125)+1,"")</f>
        <v/>
      </c>
      <c r="T126" s="9" t="str">
        <f aca="false">IF(AND(C126&lt;&gt;"",IF(K126="","Chưa làm",K126)="Chưa làm"),MAX(T$5:T125)+1,"")</f>
        <v/>
      </c>
      <c r="U126" s="9" t="str">
        <f aca="false">IF(AND(C126&lt;&gt;"",IF(K126="","Chưa làm",K126)="Đang làm"),MAX(U$5:U125)+1,"")</f>
        <v/>
      </c>
      <c r="V126" s="9" t="str">
        <f aca="false">IF(AND(C126&lt;&gt;"",IF(K126="","Chưa làm",K126)="Chờ duyệt"),MAX(V$5:V125)+1,"")</f>
        <v/>
      </c>
      <c r="W126" s="9" t="str">
        <f aca="false">IF(AND(C126&lt;&gt;"",IF(K126="","Chưa làm",K126)="Hoàn thành"),MAX(W$5:W125)+1,"")</f>
        <v/>
      </c>
      <c r="X126" s="9" t="str">
        <f aca="false">IF(AND(C126&lt;&gt;"",K126&lt;&gt;"Hoàn thành",N126="1. Làm ngay"),MAX(X$5:X125)+1,"")</f>
        <v/>
      </c>
      <c r="Y126" s="9" t="str">
        <f aca="false">IF(AND(C126&lt;&gt;"",K126&lt;&gt;"Hoàn thành",N126="2. Lên lịch"),MAX(Y$5:Y125)+1,"")</f>
        <v/>
      </c>
      <c r="Z126" s="9" t="str">
        <f aca="false">IF(AND(C126&lt;&gt;"",K126&lt;&gt;"Hoàn thành",N126="3. Giao lại"),MAX(Z$5:Z125)+1,"")</f>
        <v/>
      </c>
      <c r="AA126" s="9" t="str">
        <f aca="false">IF(AND(C126&lt;&gt;"",K126&lt;&gt;"Hoàn thành",N126="4. Để sau"),MAX(AA$5:AA125)+1,"")</f>
        <v/>
      </c>
      <c r="AB126" s="9" t="str">
        <f aca="false">IF(AND(C126&lt;&gt;"",J126&lt;&gt;"",J126&gt;=TUAN!$C$3,J126&lt;=TUAN!$C$3+6),MAX(AB$5:AB125)+1,"")</f>
        <v/>
      </c>
    </row>
    <row r="127" customFormat="false" ht="15" hidden="false" customHeight="false" outlineLevel="0" collapsed="false">
      <c r="A127" s="9" t="str">
        <f aca="false">IF(C127="","","CV"&amp;TEXT(ROW()-5,"000"))</f>
        <v/>
      </c>
      <c r="B127" s="10"/>
      <c r="C127" s="11"/>
      <c r="D127" s="12"/>
      <c r="E127" s="12"/>
      <c r="F127" s="12"/>
      <c r="G127" s="12"/>
      <c r="H127" s="12"/>
      <c r="I127" s="12"/>
      <c r="J127" s="10"/>
      <c r="K127" s="12"/>
      <c r="L127" s="10"/>
      <c r="M127" s="12"/>
      <c r="N127" s="9" t="str">
        <f aca="false">IF(C127="","",IF(AND(H127="Có",I127="Có"),"1. Làm ngay",IF(H127="Có","2. Lên lịch",IF(I127="Có","3. Giao lại","4. Để sau"))))</f>
        <v/>
      </c>
      <c r="O127" s="9" t="str">
        <f aca="true">IF(OR(C127="",J127="",K127="Hoàn thành"),"",J127-TODAY())</f>
        <v/>
      </c>
      <c r="P127" s="9" t="str">
        <f aca="true">IF(C127="","",IF(K127="Hoàn thành",IF(OR(L127="",J127=""),"Xong (thiếu ngày)",IF(L127&lt;=J127,"Xong đúng hạn","Xong trễ")),IF(J127="","Chưa có hạn",IF(J127&lt;TODAY(),"Quá hạn",IF(J127=TODAY(),"Đến hạn hôm nay",IF(J127-TODAY()&lt;=3,"Sắp đến hạn","Trong hạn"))))))</f>
        <v/>
      </c>
      <c r="Q127" s="9" t="str">
        <f aca="false">IF(OR(C127="",J127=""),"",WEEKNUM(J127,21))</f>
        <v/>
      </c>
      <c r="R127" s="2"/>
      <c r="S127" s="9" t="str">
        <f aca="true">IF(AND(C127&lt;&gt;"",K127&lt;&gt;"Hoàn thành",J127&lt;&gt;"",J127&lt;=TODAY()),MAX(S$5:S126)+1,"")</f>
        <v/>
      </c>
      <c r="T127" s="9" t="str">
        <f aca="false">IF(AND(C127&lt;&gt;"",IF(K127="","Chưa làm",K127)="Chưa làm"),MAX(T$5:T126)+1,"")</f>
        <v/>
      </c>
      <c r="U127" s="9" t="str">
        <f aca="false">IF(AND(C127&lt;&gt;"",IF(K127="","Chưa làm",K127)="Đang làm"),MAX(U$5:U126)+1,"")</f>
        <v/>
      </c>
      <c r="V127" s="9" t="str">
        <f aca="false">IF(AND(C127&lt;&gt;"",IF(K127="","Chưa làm",K127)="Chờ duyệt"),MAX(V$5:V126)+1,"")</f>
        <v/>
      </c>
      <c r="W127" s="9" t="str">
        <f aca="false">IF(AND(C127&lt;&gt;"",IF(K127="","Chưa làm",K127)="Hoàn thành"),MAX(W$5:W126)+1,"")</f>
        <v/>
      </c>
      <c r="X127" s="9" t="str">
        <f aca="false">IF(AND(C127&lt;&gt;"",K127&lt;&gt;"Hoàn thành",N127="1. Làm ngay"),MAX(X$5:X126)+1,"")</f>
        <v/>
      </c>
      <c r="Y127" s="9" t="str">
        <f aca="false">IF(AND(C127&lt;&gt;"",K127&lt;&gt;"Hoàn thành",N127="2. Lên lịch"),MAX(Y$5:Y126)+1,"")</f>
        <v/>
      </c>
      <c r="Z127" s="9" t="str">
        <f aca="false">IF(AND(C127&lt;&gt;"",K127&lt;&gt;"Hoàn thành",N127="3. Giao lại"),MAX(Z$5:Z126)+1,"")</f>
        <v/>
      </c>
      <c r="AA127" s="9" t="str">
        <f aca="false">IF(AND(C127&lt;&gt;"",K127&lt;&gt;"Hoàn thành",N127="4. Để sau"),MAX(AA$5:AA126)+1,"")</f>
        <v/>
      </c>
      <c r="AB127" s="9" t="str">
        <f aca="false">IF(AND(C127&lt;&gt;"",J127&lt;&gt;"",J127&gt;=TUAN!$C$3,J127&lt;=TUAN!$C$3+6),MAX(AB$5:AB126)+1,"")</f>
        <v/>
      </c>
    </row>
    <row r="128" customFormat="false" ht="15" hidden="false" customHeight="false" outlineLevel="0" collapsed="false">
      <c r="A128" s="9" t="str">
        <f aca="false">IF(C128="","","CV"&amp;TEXT(ROW()-5,"000"))</f>
        <v/>
      </c>
      <c r="B128" s="10"/>
      <c r="C128" s="11"/>
      <c r="D128" s="12"/>
      <c r="E128" s="12"/>
      <c r="F128" s="12"/>
      <c r="G128" s="12"/>
      <c r="H128" s="12"/>
      <c r="I128" s="12"/>
      <c r="J128" s="10"/>
      <c r="K128" s="12"/>
      <c r="L128" s="10"/>
      <c r="M128" s="12"/>
      <c r="N128" s="9" t="str">
        <f aca="false">IF(C128="","",IF(AND(H128="Có",I128="Có"),"1. Làm ngay",IF(H128="Có","2. Lên lịch",IF(I128="Có","3. Giao lại","4. Để sau"))))</f>
        <v/>
      </c>
      <c r="O128" s="9" t="str">
        <f aca="true">IF(OR(C128="",J128="",K128="Hoàn thành"),"",J128-TODAY())</f>
        <v/>
      </c>
      <c r="P128" s="9" t="str">
        <f aca="true">IF(C128="","",IF(K128="Hoàn thành",IF(OR(L128="",J128=""),"Xong (thiếu ngày)",IF(L128&lt;=J128,"Xong đúng hạn","Xong trễ")),IF(J128="","Chưa có hạn",IF(J128&lt;TODAY(),"Quá hạn",IF(J128=TODAY(),"Đến hạn hôm nay",IF(J128-TODAY()&lt;=3,"Sắp đến hạn","Trong hạn"))))))</f>
        <v/>
      </c>
      <c r="Q128" s="9" t="str">
        <f aca="false">IF(OR(C128="",J128=""),"",WEEKNUM(J128,21))</f>
        <v/>
      </c>
      <c r="R128" s="2"/>
      <c r="S128" s="9" t="str">
        <f aca="true">IF(AND(C128&lt;&gt;"",K128&lt;&gt;"Hoàn thành",J128&lt;&gt;"",J128&lt;=TODAY()),MAX(S$5:S127)+1,"")</f>
        <v/>
      </c>
      <c r="T128" s="9" t="str">
        <f aca="false">IF(AND(C128&lt;&gt;"",IF(K128="","Chưa làm",K128)="Chưa làm"),MAX(T$5:T127)+1,"")</f>
        <v/>
      </c>
      <c r="U128" s="9" t="str">
        <f aca="false">IF(AND(C128&lt;&gt;"",IF(K128="","Chưa làm",K128)="Đang làm"),MAX(U$5:U127)+1,"")</f>
        <v/>
      </c>
      <c r="V128" s="9" t="str">
        <f aca="false">IF(AND(C128&lt;&gt;"",IF(K128="","Chưa làm",K128)="Chờ duyệt"),MAX(V$5:V127)+1,"")</f>
        <v/>
      </c>
      <c r="W128" s="9" t="str">
        <f aca="false">IF(AND(C128&lt;&gt;"",IF(K128="","Chưa làm",K128)="Hoàn thành"),MAX(W$5:W127)+1,"")</f>
        <v/>
      </c>
      <c r="X128" s="9" t="str">
        <f aca="false">IF(AND(C128&lt;&gt;"",K128&lt;&gt;"Hoàn thành",N128="1. Làm ngay"),MAX(X$5:X127)+1,"")</f>
        <v/>
      </c>
      <c r="Y128" s="9" t="str">
        <f aca="false">IF(AND(C128&lt;&gt;"",K128&lt;&gt;"Hoàn thành",N128="2. Lên lịch"),MAX(Y$5:Y127)+1,"")</f>
        <v/>
      </c>
      <c r="Z128" s="9" t="str">
        <f aca="false">IF(AND(C128&lt;&gt;"",K128&lt;&gt;"Hoàn thành",N128="3. Giao lại"),MAX(Z$5:Z127)+1,"")</f>
        <v/>
      </c>
      <c r="AA128" s="9" t="str">
        <f aca="false">IF(AND(C128&lt;&gt;"",K128&lt;&gt;"Hoàn thành",N128="4. Để sau"),MAX(AA$5:AA127)+1,"")</f>
        <v/>
      </c>
      <c r="AB128" s="9" t="str">
        <f aca="false">IF(AND(C128&lt;&gt;"",J128&lt;&gt;"",J128&gt;=TUAN!$C$3,J128&lt;=TUAN!$C$3+6),MAX(AB$5:AB127)+1,"")</f>
        <v/>
      </c>
    </row>
    <row r="129" customFormat="false" ht="15" hidden="false" customHeight="false" outlineLevel="0" collapsed="false">
      <c r="A129" s="9" t="str">
        <f aca="false">IF(C129="","","CV"&amp;TEXT(ROW()-5,"000"))</f>
        <v/>
      </c>
      <c r="B129" s="10"/>
      <c r="C129" s="11"/>
      <c r="D129" s="12"/>
      <c r="E129" s="12"/>
      <c r="F129" s="12"/>
      <c r="G129" s="12"/>
      <c r="H129" s="12"/>
      <c r="I129" s="12"/>
      <c r="J129" s="10"/>
      <c r="K129" s="12"/>
      <c r="L129" s="10"/>
      <c r="M129" s="12"/>
      <c r="N129" s="9" t="str">
        <f aca="false">IF(C129="","",IF(AND(H129="Có",I129="Có"),"1. Làm ngay",IF(H129="Có","2. Lên lịch",IF(I129="Có","3. Giao lại","4. Để sau"))))</f>
        <v/>
      </c>
      <c r="O129" s="9" t="str">
        <f aca="true">IF(OR(C129="",J129="",K129="Hoàn thành"),"",J129-TODAY())</f>
        <v/>
      </c>
      <c r="P129" s="9" t="str">
        <f aca="true">IF(C129="","",IF(K129="Hoàn thành",IF(OR(L129="",J129=""),"Xong (thiếu ngày)",IF(L129&lt;=J129,"Xong đúng hạn","Xong trễ")),IF(J129="","Chưa có hạn",IF(J129&lt;TODAY(),"Quá hạn",IF(J129=TODAY(),"Đến hạn hôm nay",IF(J129-TODAY()&lt;=3,"Sắp đến hạn","Trong hạn"))))))</f>
        <v/>
      </c>
      <c r="Q129" s="9" t="str">
        <f aca="false">IF(OR(C129="",J129=""),"",WEEKNUM(J129,21))</f>
        <v/>
      </c>
      <c r="R129" s="2"/>
      <c r="S129" s="9" t="str">
        <f aca="true">IF(AND(C129&lt;&gt;"",K129&lt;&gt;"Hoàn thành",J129&lt;&gt;"",J129&lt;=TODAY()),MAX(S$5:S128)+1,"")</f>
        <v/>
      </c>
      <c r="T129" s="9" t="str">
        <f aca="false">IF(AND(C129&lt;&gt;"",IF(K129="","Chưa làm",K129)="Chưa làm"),MAX(T$5:T128)+1,"")</f>
        <v/>
      </c>
      <c r="U129" s="9" t="str">
        <f aca="false">IF(AND(C129&lt;&gt;"",IF(K129="","Chưa làm",K129)="Đang làm"),MAX(U$5:U128)+1,"")</f>
        <v/>
      </c>
      <c r="V129" s="9" t="str">
        <f aca="false">IF(AND(C129&lt;&gt;"",IF(K129="","Chưa làm",K129)="Chờ duyệt"),MAX(V$5:V128)+1,"")</f>
        <v/>
      </c>
      <c r="W129" s="9" t="str">
        <f aca="false">IF(AND(C129&lt;&gt;"",IF(K129="","Chưa làm",K129)="Hoàn thành"),MAX(W$5:W128)+1,"")</f>
        <v/>
      </c>
      <c r="X129" s="9" t="str">
        <f aca="false">IF(AND(C129&lt;&gt;"",K129&lt;&gt;"Hoàn thành",N129="1. Làm ngay"),MAX(X$5:X128)+1,"")</f>
        <v/>
      </c>
      <c r="Y129" s="9" t="str">
        <f aca="false">IF(AND(C129&lt;&gt;"",K129&lt;&gt;"Hoàn thành",N129="2. Lên lịch"),MAX(Y$5:Y128)+1,"")</f>
        <v/>
      </c>
      <c r="Z129" s="9" t="str">
        <f aca="false">IF(AND(C129&lt;&gt;"",K129&lt;&gt;"Hoàn thành",N129="3. Giao lại"),MAX(Z$5:Z128)+1,"")</f>
        <v/>
      </c>
      <c r="AA129" s="9" t="str">
        <f aca="false">IF(AND(C129&lt;&gt;"",K129&lt;&gt;"Hoàn thành",N129="4. Để sau"),MAX(AA$5:AA128)+1,"")</f>
        <v/>
      </c>
      <c r="AB129" s="9" t="str">
        <f aca="false">IF(AND(C129&lt;&gt;"",J129&lt;&gt;"",J129&gt;=TUAN!$C$3,J129&lt;=TUAN!$C$3+6),MAX(AB$5:AB128)+1,"")</f>
        <v/>
      </c>
    </row>
    <row r="130" customFormat="false" ht="15" hidden="false" customHeight="false" outlineLevel="0" collapsed="false">
      <c r="A130" s="9" t="str">
        <f aca="false">IF(C130="","","CV"&amp;TEXT(ROW()-5,"000"))</f>
        <v/>
      </c>
      <c r="B130" s="10"/>
      <c r="C130" s="11"/>
      <c r="D130" s="12"/>
      <c r="E130" s="12"/>
      <c r="F130" s="12"/>
      <c r="G130" s="12"/>
      <c r="H130" s="12"/>
      <c r="I130" s="12"/>
      <c r="J130" s="10"/>
      <c r="K130" s="12"/>
      <c r="L130" s="10"/>
      <c r="M130" s="12"/>
      <c r="N130" s="9" t="str">
        <f aca="false">IF(C130="","",IF(AND(H130="Có",I130="Có"),"1. Làm ngay",IF(H130="Có","2. Lên lịch",IF(I130="Có","3. Giao lại","4. Để sau"))))</f>
        <v/>
      </c>
      <c r="O130" s="9" t="str">
        <f aca="true">IF(OR(C130="",J130="",K130="Hoàn thành"),"",J130-TODAY())</f>
        <v/>
      </c>
      <c r="P130" s="9" t="str">
        <f aca="true">IF(C130="","",IF(K130="Hoàn thành",IF(OR(L130="",J130=""),"Xong (thiếu ngày)",IF(L130&lt;=J130,"Xong đúng hạn","Xong trễ")),IF(J130="","Chưa có hạn",IF(J130&lt;TODAY(),"Quá hạn",IF(J130=TODAY(),"Đến hạn hôm nay",IF(J130-TODAY()&lt;=3,"Sắp đến hạn","Trong hạn"))))))</f>
        <v/>
      </c>
      <c r="Q130" s="9" t="str">
        <f aca="false">IF(OR(C130="",J130=""),"",WEEKNUM(J130,21))</f>
        <v/>
      </c>
      <c r="R130" s="2"/>
      <c r="S130" s="9" t="str">
        <f aca="true">IF(AND(C130&lt;&gt;"",K130&lt;&gt;"Hoàn thành",J130&lt;&gt;"",J130&lt;=TODAY()),MAX(S$5:S129)+1,"")</f>
        <v/>
      </c>
      <c r="T130" s="9" t="str">
        <f aca="false">IF(AND(C130&lt;&gt;"",IF(K130="","Chưa làm",K130)="Chưa làm"),MAX(T$5:T129)+1,"")</f>
        <v/>
      </c>
      <c r="U130" s="9" t="str">
        <f aca="false">IF(AND(C130&lt;&gt;"",IF(K130="","Chưa làm",K130)="Đang làm"),MAX(U$5:U129)+1,"")</f>
        <v/>
      </c>
      <c r="V130" s="9" t="str">
        <f aca="false">IF(AND(C130&lt;&gt;"",IF(K130="","Chưa làm",K130)="Chờ duyệt"),MAX(V$5:V129)+1,"")</f>
        <v/>
      </c>
      <c r="W130" s="9" t="str">
        <f aca="false">IF(AND(C130&lt;&gt;"",IF(K130="","Chưa làm",K130)="Hoàn thành"),MAX(W$5:W129)+1,"")</f>
        <v/>
      </c>
      <c r="X130" s="9" t="str">
        <f aca="false">IF(AND(C130&lt;&gt;"",K130&lt;&gt;"Hoàn thành",N130="1. Làm ngay"),MAX(X$5:X129)+1,"")</f>
        <v/>
      </c>
      <c r="Y130" s="9" t="str">
        <f aca="false">IF(AND(C130&lt;&gt;"",K130&lt;&gt;"Hoàn thành",N130="2. Lên lịch"),MAX(Y$5:Y129)+1,"")</f>
        <v/>
      </c>
      <c r="Z130" s="9" t="str">
        <f aca="false">IF(AND(C130&lt;&gt;"",K130&lt;&gt;"Hoàn thành",N130="3. Giao lại"),MAX(Z$5:Z129)+1,"")</f>
        <v/>
      </c>
      <c r="AA130" s="9" t="str">
        <f aca="false">IF(AND(C130&lt;&gt;"",K130&lt;&gt;"Hoàn thành",N130="4. Để sau"),MAX(AA$5:AA129)+1,"")</f>
        <v/>
      </c>
      <c r="AB130" s="9" t="str">
        <f aca="false">IF(AND(C130&lt;&gt;"",J130&lt;&gt;"",J130&gt;=TUAN!$C$3,J130&lt;=TUAN!$C$3+6),MAX(AB$5:AB129)+1,"")</f>
        <v/>
      </c>
    </row>
    <row r="131" customFormat="false" ht="15" hidden="false" customHeight="false" outlineLevel="0" collapsed="false">
      <c r="A131" s="9" t="str">
        <f aca="false">IF(C131="","","CV"&amp;TEXT(ROW()-5,"000"))</f>
        <v/>
      </c>
      <c r="B131" s="10"/>
      <c r="C131" s="11"/>
      <c r="D131" s="12"/>
      <c r="E131" s="12"/>
      <c r="F131" s="12"/>
      <c r="G131" s="12"/>
      <c r="H131" s="12"/>
      <c r="I131" s="12"/>
      <c r="J131" s="10"/>
      <c r="K131" s="12"/>
      <c r="L131" s="10"/>
      <c r="M131" s="12"/>
      <c r="N131" s="9" t="str">
        <f aca="false">IF(C131="","",IF(AND(H131="Có",I131="Có"),"1. Làm ngay",IF(H131="Có","2. Lên lịch",IF(I131="Có","3. Giao lại","4. Để sau"))))</f>
        <v/>
      </c>
      <c r="O131" s="9" t="str">
        <f aca="true">IF(OR(C131="",J131="",K131="Hoàn thành"),"",J131-TODAY())</f>
        <v/>
      </c>
      <c r="P131" s="9" t="str">
        <f aca="true">IF(C131="","",IF(K131="Hoàn thành",IF(OR(L131="",J131=""),"Xong (thiếu ngày)",IF(L131&lt;=J131,"Xong đúng hạn","Xong trễ")),IF(J131="","Chưa có hạn",IF(J131&lt;TODAY(),"Quá hạn",IF(J131=TODAY(),"Đến hạn hôm nay",IF(J131-TODAY()&lt;=3,"Sắp đến hạn","Trong hạn"))))))</f>
        <v/>
      </c>
      <c r="Q131" s="9" t="str">
        <f aca="false">IF(OR(C131="",J131=""),"",WEEKNUM(J131,21))</f>
        <v/>
      </c>
      <c r="R131" s="2"/>
      <c r="S131" s="9" t="str">
        <f aca="true">IF(AND(C131&lt;&gt;"",K131&lt;&gt;"Hoàn thành",J131&lt;&gt;"",J131&lt;=TODAY()),MAX(S$5:S130)+1,"")</f>
        <v/>
      </c>
      <c r="T131" s="9" t="str">
        <f aca="false">IF(AND(C131&lt;&gt;"",IF(K131="","Chưa làm",K131)="Chưa làm"),MAX(T$5:T130)+1,"")</f>
        <v/>
      </c>
      <c r="U131" s="9" t="str">
        <f aca="false">IF(AND(C131&lt;&gt;"",IF(K131="","Chưa làm",K131)="Đang làm"),MAX(U$5:U130)+1,"")</f>
        <v/>
      </c>
      <c r="V131" s="9" t="str">
        <f aca="false">IF(AND(C131&lt;&gt;"",IF(K131="","Chưa làm",K131)="Chờ duyệt"),MAX(V$5:V130)+1,"")</f>
        <v/>
      </c>
      <c r="W131" s="9" t="str">
        <f aca="false">IF(AND(C131&lt;&gt;"",IF(K131="","Chưa làm",K131)="Hoàn thành"),MAX(W$5:W130)+1,"")</f>
        <v/>
      </c>
      <c r="X131" s="9" t="str">
        <f aca="false">IF(AND(C131&lt;&gt;"",K131&lt;&gt;"Hoàn thành",N131="1. Làm ngay"),MAX(X$5:X130)+1,"")</f>
        <v/>
      </c>
      <c r="Y131" s="9" t="str">
        <f aca="false">IF(AND(C131&lt;&gt;"",K131&lt;&gt;"Hoàn thành",N131="2. Lên lịch"),MAX(Y$5:Y130)+1,"")</f>
        <v/>
      </c>
      <c r="Z131" s="9" t="str">
        <f aca="false">IF(AND(C131&lt;&gt;"",K131&lt;&gt;"Hoàn thành",N131="3. Giao lại"),MAX(Z$5:Z130)+1,"")</f>
        <v/>
      </c>
      <c r="AA131" s="9" t="str">
        <f aca="false">IF(AND(C131&lt;&gt;"",K131&lt;&gt;"Hoàn thành",N131="4. Để sau"),MAX(AA$5:AA130)+1,"")</f>
        <v/>
      </c>
      <c r="AB131" s="9" t="str">
        <f aca="false">IF(AND(C131&lt;&gt;"",J131&lt;&gt;"",J131&gt;=TUAN!$C$3,J131&lt;=TUAN!$C$3+6),MAX(AB$5:AB130)+1,"")</f>
        <v/>
      </c>
    </row>
    <row r="132" customFormat="false" ht="15" hidden="false" customHeight="false" outlineLevel="0" collapsed="false">
      <c r="A132" s="9" t="str">
        <f aca="false">IF(C132="","","CV"&amp;TEXT(ROW()-5,"000"))</f>
        <v/>
      </c>
      <c r="B132" s="10"/>
      <c r="C132" s="11"/>
      <c r="D132" s="12"/>
      <c r="E132" s="12"/>
      <c r="F132" s="12"/>
      <c r="G132" s="12"/>
      <c r="H132" s="12"/>
      <c r="I132" s="12"/>
      <c r="J132" s="10"/>
      <c r="K132" s="12"/>
      <c r="L132" s="10"/>
      <c r="M132" s="12"/>
      <c r="N132" s="9" t="str">
        <f aca="false">IF(C132="","",IF(AND(H132="Có",I132="Có"),"1. Làm ngay",IF(H132="Có","2. Lên lịch",IF(I132="Có","3. Giao lại","4. Để sau"))))</f>
        <v/>
      </c>
      <c r="O132" s="9" t="str">
        <f aca="true">IF(OR(C132="",J132="",K132="Hoàn thành"),"",J132-TODAY())</f>
        <v/>
      </c>
      <c r="P132" s="9" t="str">
        <f aca="true">IF(C132="","",IF(K132="Hoàn thành",IF(OR(L132="",J132=""),"Xong (thiếu ngày)",IF(L132&lt;=J132,"Xong đúng hạn","Xong trễ")),IF(J132="","Chưa có hạn",IF(J132&lt;TODAY(),"Quá hạn",IF(J132=TODAY(),"Đến hạn hôm nay",IF(J132-TODAY()&lt;=3,"Sắp đến hạn","Trong hạn"))))))</f>
        <v/>
      </c>
      <c r="Q132" s="9" t="str">
        <f aca="false">IF(OR(C132="",J132=""),"",WEEKNUM(J132,21))</f>
        <v/>
      </c>
      <c r="R132" s="2"/>
      <c r="S132" s="9" t="str">
        <f aca="true">IF(AND(C132&lt;&gt;"",K132&lt;&gt;"Hoàn thành",J132&lt;&gt;"",J132&lt;=TODAY()),MAX(S$5:S131)+1,"")</f>
        <v/>
      </c>
      <c r="T132" s="9" t="str">
        <f aca="false">IF(AND(C132&lt;&gt;"",IF(K132="","Chưa làm",K132)="Chưa làm"),MAX(T$5:T131)+1,"")</f>
        <v/>
      </c>
      <c r="U132" s="9" t="str">
        <f aca="false">IF(AND(C132&lt;&gt;"",IF(K132="","Chưa làm",K132)="Đang làm"),MAX(U$5:U131)+1,"")</f>
        <v/>
      </c>
      <c r="V132" s="9" t="str">
        <f aca="false">IF(AND(C132&lt;&gt;"",IF(K132="","Chưa làm",K132)="Chờ duyệt"),MAX(V$5:V131)+1,"")</f>
        <v/>
      </c>
      <c r="W132" s="9" t="str">
        <f aca="false">IF(AND(C132&lt;&gt;"",IF(K132="","Chưa làm",K132)="Hoàn thành"),MAX(W$5:W131)+1,"")</f>
        <v/>
      </c>
      <c r="X132" s="9" t="str">
        <f aca="false">IF(AND(C132&lt;&gt;"",K132&lt;&gt;"Hoàn thành",N132="1. Làm ngay"),MAX(X$5:X131)+1,"")</f>
        <v/>
      </c>
      <c r="Y132" s="9" t="str">
        <f aca="false">IF(AND(C132&lt;&gt;"",K132&lt;&gt;"Hoàn thành",N132="2. Lên lịch"),MAX(Y$5:Y131)+1,"")</f>
        <v/>
      </c>
      <c r="Z132" s="9" t="str">
        <f aca="false">IF(AND(C132&lt;&gt;"",K132&lt;&gt;"Hoàn thành",N132="3. Giao lại"),MAX(Z$5:Z131)+1,"")</f>
        <v/>
      </c>
      <c r="AA132" s="9" t="str">
        <f aca="false">IF(AND(C132&lt;&gt;"",K132&lt;&gt;"Hoàn thành",N132="4. Để sau"),MAX(AA$5:AA131)+1,"")</f>
        <v/>
      </c>
      <c r="AB132" s="9" t="str">
        <f aca="false">IF(AND(C132&lt;&gt;"",J132&lt;&gt;"",J132&gt;=TUAN!$C$3,J132&lt;=TUAN!$C$3+6),MAX(AB$5:AB131)+1,"")</f>
        <v/>
      </c>
    </row>
    <row r="133" customFormat="false" ht="15" hidden="false" customHeight="false" outlineLevel="0" collapsed="false">
      <c r="A133" s="9" t="str">
        <f aca="false">IF(C133="","","CV"&amp;TEXT(ROW()-5,"000"))</f>
        <v/>
      </c>
      <c r="B133" s="10"/>
      <c r="C133" s="11"/>
      <c r="D133" s="12"/>
      <c r="E133" s="12"/>
      <c r="F133" s="12"/>
      <c r="G133" s="12"/>
      <c r="H133" s="12"/>
      <c r="I133" s="12"/>
      <c r="J133" s="10"/>
      <c r="K133" s="12"/>
      <c r="L133" s="10"/>
      <c r="M133" s="12"/>
      <c r="N133" s="9" t="str">
        <f aca="false">IF(C133="","",IF(AND(H133="Có",I133="Có"),"1. Làm ngay",IF(H133="Có","2. Lên lịch",IF(I133="Có","3. Giao lại","4. Để sau"))))</f>
        <v/>
      </c>
      <c r="O133" s="9" t="str">
        <f aca="true">IF(OR(C133="",J133="",K133="Hoàn thành"),"",J133-TODAY())</f>
        <v/>
      </c>
      <c r="P133" s="9" t="str">
        <f aca="true">IF(C133="","",IF(K133="Hoàn thành",IF(OR(L133="",J133=""),"Xong (thiếu ngày)",IF(L133&lt;=J133,"Xong đúng hạn","Xong trễ")),IF(J133="","Chưa có hạn",IF(J133&lt;TODAY(),"Quá hạn",IF(J133=TODAY(),"Đến hạn hôm nay",IF(J133-TODAY()&lt;=3,"Sắp đến hạn","Trong hạn"))))))</f>
        <v/>
      </c>
      <c r="Q133" s="9" t="str">
        <f aca="false">IF(OR(C133="",J133=""),"",WEEKNUM(J133,21))</f>
        <v/>
      </c>
      <c r="R133" s="2"/>
      <c r="S133" s="9" t="str">
        <f aca="true">IF(AND(C133&lt;&gt;"",K133&lt;&gt;"Hoàn thành",J133&lt;&gt;"",J133&lt;=TODAY()),MAX(S$5:S132)+1,"")</f>
        <v/>
      </c>
      <c r="T133" s="9" t="str">
        <f aca="false">IF(AND(C133&lt;&gt;"",IF(K133="","Chưa làm",K133)="Chưa làm"),MAX(T$5:T132)+1,"")</f>
        <v/>
      </c>
      <c r="U133" s="9" t="str">
        <f aca="false">IF(AND(C133&lt;&gt;"",IF(K133="","Chưa làm",K133)="Đang làm"),MAX(U$5:U132)+1,"")</f>
        <v/>
      </c>
      <c r="V133" s="9" t="str">
        <f aca="false">IF(AND(C133&lt;&gt;"",IF(K133="","Chưa làm",K133)="Chờ duyệt"),MAX(V$5:V132)+1,"")</f>
        <v/>
      </c>
      <c r="W133" s="9" t="str">
        <f aca="false">IF(AND(C133&lt;&gt;"",IF(K133="","Chưa làm",K133)="Hoàn thành"),MAX(W$5:W132)+1,"")</f>
        <v/>
      </c>
      <c r="X133" s="9" t="str">
        <f aca="false">IF(AND(C133&lt;&gt;"",K133&lt;&gt;"Hoàn thành",N133="1. Làm ngay"),MAX(X$5:X132)+1,"")</f>
        <v/>
      </c>
      <c r="Y133" s="9" t="str">
        <f aca="false">IF(AND(C133&lt;&gt;"",K133&lt;&gt;"Hoàn thành",N133="2. Lên lịch"),MAX(Y$5:Y132)+1,"")</f>
        <v/>
      </c>
      <c r="Z133" s="9" t="str">
        <f aca="false">IF(AND(C133&lt;&gt;"",K133&lt;&gt;"Hoàn thành",N133="3. Giao lại"),MAX(Z$5:Z132)+1,"")</f>
        <v/>
      </c>
      <c r="AA133" s="9" t="str">
        <f aca="false">IF(AND(C133&lt;&gt;"",K133&lt;&gt;"Hoàn thành",N133="4. Để sau"),MAX(AA$5:AA132)+1,"")</f>
        <v/>
      </c>
      <c r="AB133" s="9" t="str">
        <f aca="false">IF(AND(C133&lt;&gt;"",J133&lt;&gt;"",J133&gt;=TUAN!$C$3,J133&lt;=TUAN!$C$3+6),MAX(AB$5:AB132)+1,"")</f>
        <v/>
      </c>
    </row>
    <row r="134" customFormat="false" ht="15" hidden="false" customHeight="false" outlineLevel="0" collapsed="false">
      <c r="A134" s="9" t="str">
        <f aca="false">IF(C134="","","CV"&amp;TEXT(ROW()-5,"000"))</f>
        <v/>
      </c>
      <c r="B134" s="10"/>
      <c r="C134" s="11"/>
      <c r="D134" s="12"/>
      <c r="E134" s="12"/>
      <c r="F134" s="12"/>
      <c r="G134" s="12"/>
      <c r="H134" s="12"/>
      <c r="I134" s="12"/>
      <c r="J134" s="10"/>
      <c r="K134" s="12"/>
      <c r="L134" s="10"/>
      <c r="M134" s="12"/>
      <c r="N134" s="9" t="str">
        <f aca="false">IF(C134="","",IF(AND(H134="Có",I134="Có"),"1. Làm ngay",IF(H134="Có","2. Lên lịch",IF(I134="Có","3. Giao lại","4. Để sau"))))</f>
        <v/>
      </c>
      <c r="O134" s="9" t="str">
        <f aca="true">IF(OR(C134="",J134="",K134="Hoàn thành"),"",J134-TODAY())</f>
        <v/>
      </c>
      <c r="P134" s="9" t="str">
        <f aca="true">IF(C134="","",IF(K134="Hoàn thành",IF(OR(L134="",J134=""),"Xong (thiếu ngày)",IF(L134&lt;=J134,"Xong đúng hạn","Xong trễ")),IF(J134="","Chưa có hạn",IF(J134&lt;TODAY(),"Quá hạn",IF(J134=TODAY(),"Đến hạn hôm nay",IF(J134-TODAY()&lt;=3,"Sắp đến hạn","Trong hạn"))))))</f>
        <v/>
      </c>
      <c r="Q134" s="9" t="str">
        <f aca="false">IF(OR(C134="",J134=""),"",WEEKNUM(J134,21))</f>
        <v/>
      </c>
      <c r="R134" s="2"/>
      <c r="S134" s="9" t="str">
        <f aca="true">IF(AND(C134&lt;&gt;"",K134&lt;&gt;"Hoàn thành",J134&lt;&gt;"",J134&lt;=TODAY()),MAX(S$5:S133)+1,"")</f>
        <v/>
      </c>
      <c r="T134" s="9" t="str">
        <f aca="false">IF(AND(C134&lt;&gt;"",IF(K134="","Chưa làm",K134)="Chưa làm"),MAX(T$5:T133)+1,"")</f>
        <v/>
      </c>
      <c r="U134" s="9" t="str">
        <f aca="false">IF(AND(C134&lt;&gt;"",IF(K134="","Chưa làm",K134)="Đang làm"),MAX(U$5:U133)+1,"")</f>
        <v/>
      </c>
      <c r="V134" s="9" t="str">
        <f aca="false">IF(AND(C134&lt;&gt;"",IF(K134="","Chưa làm",K134)="Chờ duyệt"),MAX(V$5:V133)+1,"")</f>
        <v/>
      </c>
      <c r="W134" s="9" t="str">
        <f aca="false">IF(AND(C134&lt;&gt;"",IF(K134="","Chưa làm",K134)="Hoàn thành"),MAX(W$5:W133)+1,"")</f>
        <v/>
      </c>
      <c r="X134" s="9" t="str">
        <f aca="false">IF(AND(C134&lt;&gt;"",K134&lt;&gt;"Hoàn thành",N134="1. Làm ngay"),MAX(X$5:X133)+1,"")</f>
        <v/>
      </c>
      <c r="Y134" s="9" t="str">
        <f aca="false">IF(AND(C134&lt;&gt;"",K134&lt;&gt;"Hoàn thành",N134="2. Lên lịch"),MAX(Y$5:Y133)+1,"")</f>
        <v/>
      </c>
      <c r="Z134" s="9" t="str">
        <f aca="false">IF(AND(C134&lt;&gt;"",K134&lt;&gt;"Hoàn thành",N134="3. Giao lại"),MAX(Z$5:Z133)+1,"")</f>
        <v/>
      </c>
      <c r="AA134" s="9" t="str">
        <f aca="false">IF(AND(C134&lt;&gt;"",K134&lt;&gt;"Hoàn thành",N134="4. Để sau"),MAX(AA$5:AA133)+1,"")</f>
        <v/>
      </c>
      <c r="AB134" s="9" t="str">
        <f aca="false">IF(AND(C134&lt;&gt;"",J134&lt;&gt;"",J134&gt;=TUAN!$C$3,J134&lt;=TUAN!$C$3+6),MAX(AB$5:AB133)+1,"")</f>
        <v/>
      </c>
    </row>
    <row r="135" customFormat="false" ht="15" hidden="false" customHeight="false" outlineLevel="0" collapsed="false">
      <c r="A135" s="9" t="str">
        <f aca="false">IF(C135="","","CV"&amp;TEXT(ROW()-5,"000"))</f>
        <v/>
      </c>
      <c r="B135" s="10"/>
      <c r="C135" s="11"/>
      <c r="D135" s="12"/>
      <c r="E135" s="12"/>
      <c r="F135" s="12"/>
      <c r="G135" s="12"/>
      <c r="H135" s="12"/>
      <c r="I135" s="12"/>
      <c r="J135" s="10"/>
      <c r="K135" s="12"/>
      <c r="L135" s="10"/>
      <c r="M135" s="12"/>
      <c r="N135" s="9" t="str">
        <f aca="false">IF(C135="","",IF(AND(H135="Có",I135="Có"),"1. Làm ngay",IF(H135="Có","2. Lên lịch",IF(I135="Có","3. Giao lại","4. Để sau"))))</f>
        <v/>
      </c>
      <c r="O135" s="9" t="str">
        <f aca="true">IF(OR(C135="",J135="",K135="Hoàn thành"),"",J135-TODAY())</f>
        <v/>
      </c>
      <c r="P135" s="9" t="str">
        <f aca="true">IF(C135="","",IF(K135="Hoàn thành",IF(OR(L135="",J135=""),"Xong (thiếu ngày)",IF(L135&lt;=J135,"Xong đúng hạn","Xong trễ")),IF(J135="","Chưa có hạn",IF(J135&lt;TODAY(),"Quá hạn",IF(J135=TODAY(),"Đến hạn hôm nay",IF(J135-TODAY()&lt;=3,"Sắp đến hạn","Trong hạn"))))))</f>
        <v/>
      </c>
      <c r="Q135" s="9" t="str">
        <f aca="false">IF(OR(C135="",J135=""),"",WEEKNUM(J135,21))</f>
        <v/>
      </c>
      <c r="R135" s="2"/>
      <c r="S135" s="9" t="str">
        <f aca="true">IF(AND(C135&lt;&gt;"",K135&lt;&gt;"Hoàn thành",J135&lt;&gt;"",J135&lt;=TODAY()),MAX(S$5:S134)+1,"")</f>
        <v/>
      </c>
      <c r="T135" s="9" t="str">
        <f aca="false">IF(AND(C135&lt;&gt;"",IF(K135="","Chưa làm",K135)="Chưa làm"),MAX(T$5:T134)+1,"")</f>
        <v/>
      </c>
      <c r="U135" s="9" t="str">
        <f aca="false">IF(AND(C135&lt;&gt;"",IF(K135="","Chưa làm",K135)="Đang làm"),MAX(U$5:U134)+1,"")</f>
        <v/>
      </c>
      <c r="V135" s="9" t="str">
        <f aca="false">IF(AND(C135&lt;&gt;"",IF(K135="","Chưa làm",K135)="Chờ duyệt"),MAX(V$5:V134)+1,"")</f>
        <v/>
      </c>
      <c r="W135" s="9" t="str">
        <f aca="false">IF(AND(C135&lt;&gt;"",IF(K135="","Chưa làm",K135)="Hoàn thành"),MAX(W$5:W134)+1,"")</f>
        <v/>
      </c>
      <c r="X135" s="9" t="str">
        <f aca="false">IF(AND(C135&lt;&gt;"",K135&lt;&gt;"Hoàn thành",N135="1. Làm ngay"),MAX(X$5:X134)+1,"")</f>
        <v/>
      </c>
      <c r="Y135" s="9" t="str">
        <f aca="false">IF(AND(C135&lt;&gt;"",K135&lt;&gt;"Hoàn thành",N135="2. Lên lịch"),MAX(Y$5:Y134)+1,"")</f>
        <v/>
      </c>
      <c r="Z135" s="9" t="str">
        <f aca="false">IF(AND(C135&lt;&gt;"",K135&lt;&gt;"Hoàn thành",N135="3. Giao lại"),MAX(Z$5:Z134)+1,"")</f>
        <v/>
      </c>
      <c r="AA135" s="9" t="str">
        <f aca="false">IF(AND(C135&lt;&gt;"",K135&lt;&gt;"Hoàn thành",N135="4. Để sau"),MAX(AA$5:AA134)+1,"")</f>
        <v/>
      </c>
      <c r="AB135" s="9" t="str">
        <f aca="false">IF(AND(C135&lt;&gt;"",J135&lt;&gt;"",J135&gt;=TUAN!$C$3,J135&lt;=TUAN!$C$3+6),MAX(AB$5:AB134)+1,"")</f>
        <v/>
      </c>
    </row>
    <row r="136" customFormat="false" ht="15" hidden="false" customHeight="false" outlineLevel="0" collapsed="false">
      <c r="A136" s="9" t="str">
        <f aca="false">IF(C136="","","CV"&amp;TEXT(ROW()-5,"000"))</f>
        <v/>
      </c>
      <c r="B136" s="10"/>
      <c r="C136" s="11"/>
      <c r="D136" s="12"/>
      <c r="E136" s="12"/>
      <c r="F136" s="12"/>
      <c r="G136" s="12"/>
      <c r="H136" s="12"/>
      <c r="I136" s="12"/>
      <c r="J136" s="10"/>
      <c r="K136" s="12"/>
      <c r="L136" s="10"/>
      <c r="M136" s="12"/>
      <c r="N136" s="9" t="str">
        <f aca="false">IF(C136="","",IF(AND(H136="Có",I136="Có"),"1. Làm ngay",IF(H136="Có","2. Lên lịch",IF(I136="Có","3. Giao lại","4. Để sau"))))</f>
        <v/>
      </c>
      <c r="O136" s="9" t="str">
        <f aca="true">IF(OR(C136="",J136="",K136="Hoàn thành"),"",J136-TODAY())</f>
        <v/>
      </c>
      <c r="P136" s="9" t="str">
        <f aca="true">IF(C136="","",IF(K136="Hoàn thành",IF(OR(L136="",J136=""),"Xong (thiếu ngày)",IF(L136&lt;=J136,"Xong đúng hạn","Xong trễ")),IF(J136="","Chưa có hạn",IF(J136&lt;TODAY(),"Quá hạn",IF(J136=TODAY(),"Đến hạn hôm nay",IF(J136-TODAY()&lt;=3,"Sắp đến hạn","Trong hạn"))))))</f>
        <v/>
      </c>
      <c r="Q136" s="9" t="str">
        <f aca="false">IF(OR(C136="",J136=""),"",WEEKNUM(J136,21))</f>
        <v/>
      </c>
      <c r="R136" s="2"/>
      <c r="S136" s="9" t="str">
        <f aca="true">IF(AND(C136&lt;&gt;"",K136&lt;&gt;"Hoàn thành",J136&lt;&gt;"",J136&lt;=TODAY()),MAX(S$5:S135)+1,"")</f>
        <v/>
      </c>
      <c r="T136" s="9" t="str">
        <f aca="false">IF(AND(C136&lt;&gt;"",IF(K136="","Chưa làm",K136)="Chưa làm"),MAX(T$5:T135)+1,"")</f>
        <v/>
      </c>
      <c r="U136" s="9" t="str">
        <f aca="false">IF(AND(C136&lt;&gt;"",IF(K136="","Chưa làm",K136)="Đang làm"),MAX(U$5:U135)+1,"")</f>
        <v/>
      </c>
      <c r="V136" s="9" t="str">
        <f aca="false">IF(AND(C136&lt;&gt;"",IF(K136="","Chưa làm",K136)="Chờ duyệt"),MAX(V$5:V135)+1,"")</f>
        <v/>
      </c>
      <c r="W136" s="9" t="str">
        <f aca="false">IF(AND(C136&lt;&gt;"",IF(K136="","Chưa làm",K136)="Hoàn thành"),MAX(W$5:W135)+1,"")</f>
        <v/>
      </c>
      <c r="X136" s="9" t="str">
        <f aca="false">IF(AND(C136&lt;&gt;"",K136&lt;&gt;"Hoàn thành",N136="1. Làm ngay"),MAX(X$5:X135)+1,"")</f>
        <v/>
      </c>
      <c r="Y136" s="9" t="str">
        <f aca="false">IF(AND(C136&lt;&gt;"",K136&lt;&gt;"Hoàn thành",N136="2. Lên lịch"),MAX(Y$5:Y135)+1,"")</f>
        <v/>
      </c>
      <c r="Z136" s="9" t="str">
        <f aca="false">IF(AND(C136&lt;&gt;"",K136&lt;&gt;"Hoàn thành",N136="3. Giao lại"),MAX(Z$5:Z135)+1,"")</f>
        <v/>
      </c>
      <c r="AA136" s="9" t="str">
        <f aca="false">IF(AND(C136&lt;&gt;"",K136&lt;&gt;"Hoàn thành",N136="4. Để sau"),MAX(AA$5:AA135)+1,"")</f>
        <v/>
      </c>
      <c r="AB136" s="9" t="str">
        <f aca="false">IF(AND(C136&lt;&gt;"",J136&lt;&gt;"",J136&gt;=TUAN!$C$3,J136&lt;=TUAN!$C$3+6),MAX(AB$5:AB135)+1,"")</f>
        <v/>
      </c>
    </row>
    <row r="137" customFormat="false" ht="15" hidden="false" customHeight="false" outlineLevel="0" collapsed="false">
      <c r="A137" s="9" t="str">
        <f aca="false">IF(C137="","","CV"&amp;TEXT(ROW()-5,"000"))</f>
        <v/>
      </c>
      <c r="B137" s="10"/>
      <c r="C137" s="11"/>
      <c r="D137" s="12"/>
      <c r="E137" s="12"/>
      <c r="F137" s="12"/>
      <c r="G137" s="12"/>
      <c r="H137" s="12"/>
      <c r="I137" s="12"/>
      <c r="J137" s="10"/>
      <c r="K137" s="12"/>
      <c r="L137" s="10"/>
      <c r="M137" s="12"/>
      <c r="N137" s="9" t="str">
        <f aca="false">IF(C137="","",IF(AND(H137="Có",I137="Có"),"1. Làm ngay",IF(H137="Có","2. Lên lịch",IF(I137="Có","3. Giao lại","4. Để sau"))))</f>
        <v/>
      </c>
      <c r="O137" s="9" t="str">
        <f aca="true">IF(OR(C137="",J137="",K137="Hoàn thành"),"",J137-TODAY())</f>
        <v/>
      </c>
      <c r="P137" s="9" t="str">
        <f aca="true">IF(C137="","",IF(K137="Hoàn thành",IF(OR(L137="",J137=""),"Xong (thiếu ngày)",IF(L137&lt;=J137,"Xong đúng hạn","Xong trễ")),IF(J137="","Chưa có hạn",IF(J137&lt;TODAY(),"Quá hạn",IF(J137=TODAY(),"Đến hạn hôm nay",IF(J137-TODAY()&lt;=3,"Sắp đến hạn","Trong hạn"))))))</f>
        <v/>
      </c>
      <c r="Q137" s="9" t="str">
        <f aca="false">IF(OR(C137="",J137=""),"",WEEKNUM(J137,21))</f>
        <v/>
      </c>
      <c r="R137" s="2"/>
      <c r="S137" s="9" t="str">
        <f aca="true">IF(AND(C137&lt;&gt;"",K137&lt;&gt;"Hoàn thành",J137&lt;&gt;"",J137&lt;=TODAY()),MAX(S$5:S136)+1,"")</f>
        <v/>
      </c>
      <c r="T137" s="9" t="str">
        <f aca="false">IF(AND(C137&lt;&gt;"",IF(K137="","Chưa làm",K137)="Chưa làm"),MAX(T$5:T136)+1,"")</f>
        <v/>
      </c>
      <c r="U137" s="9" t="str">
        <f aca="false">IF(AND(C137&lt;&gt;"",IF(K137="","Chưa làm",K137)="Đang làm"),MAX(U$5:U136)+1,"")</f>
        <v/>
      </c>
      <c r="V137" s="9" t="str">
        <f aca="false">IF(AND(C137&lt;&gt;"",IF(K137="","Chưa làm",K137)="Chờ duyệt"),MAX(V$5:V136)+1,"")</f>
        <v/>
      </c>
      <c r="W137" s="9" t="str">
        <f aca="false">IF(AND(C137&lt;&gt;"",IF(K137="","Chưa làm",K137)="Hoàn thành"),MAX(W$5:W136)+1,"")</f>
        <v/>
      </c>
      <c r="X137" s="9" t="str">
        <f aca="false">IF(AND(C137&lt;&gt;"",K137&lt;&gt;"Hoàn thành",N137="1. Làm ngay"),MAX(X$5:X136)+1,"")</f>
        <v/>
      </c>
      <c r="Y137" s="9" t="str">
        <f aca="false">IF(AND(C137&lt;&gt;"",K137&lt;&gt;"Hoàn thành",N137="2. Lên lịch"),MAX(Y$5:Y136)+1,"")</f>
        <v/>
      </c>
      <c r="Z137" s="9" t="str">
        <f aca="false">IF(AND(C137&lt;&gt;"",K137&lt;&gt;"Hoàn thành",N137="3. Giao lại"),MAX(Z$5:Z136)+1,"")</f>
        <v/>
      </c>
      <c r="AA137" s="9" t="str">
        <f aca="false">IF(AND(C137&lt;&gt;"",K137&lt;&gt;"Hoàn thành",N137="4. Để sau"),MAX(AA$5:AA136)+1,"")</f>
        <v/>
      </c>
      <c r="AB137" s="9" t="str">
        <f aca="false">IF(AND(C137&lt;&gt;"",J137&lt;&gt;"",J137&gt;=TUAN!$C$3,J137&lt;=TUAN!$C$3+6),MAX(AB$5:AB136)+1,"")</f>
        <v/>
      </c>
    </row>
    <row r="138" customFormat="false" ht="15" hidden="false" customHeight="false" outlineLevel="0" collapsed="false">
      <c r="A138" s="9" t="str">
        <f aca="false">IF(C138="","","CV"&amp;TEXT(ROW()-5,"000"))</f>
        <v/>
      </c>
      <c r="B138" s="10"/>
      <c r="C138" s="11"/>
      <c r="D138" s="12"/>
      <c r="E138" s="12"/>
      <c r="F138" s="12"/>
      <c r="G138" s="12"/>
      <c r="H138" s="12"/>
      <c r="I138" s="12"/>
      <c r="J138" s="10"/>
      <c r="K138" s="12"/>
      <c r="L138" s="10"/>
      <c r="M138" s="12"/>
      <c r="N138" s="9" t="str">
        <f aca="false">IF(C138="","",IF(AND(H138="Có",I138="Có"),"1. Làm ngay",IF(H138="Có","2. Lên lịch",IF(I138="Có","3. Giao lại","4. Để sau"))))</f>
        <v/>
      </c>
      <c r="O138" s="9" t="str">
        <f aca="true">IF(OR(C138="",J138="",K138="Hoàn thành"),"",J138-TODAY())</f>
        <v/>
      </c>
      <c r="P138" s="9" t="str">
        <f aca="true">IF(C138="","",IF(K138="Hoàn thành",IF(OR(L138="",J138=""),"Xong (thiếu ngày)",IF(L138&lt;=J138,"Xong đúng hạn","Xong trễ")),IF(J138="","Chưa có hạn",IF(J138&lt;TODAY(),"Quá hạn",IF(J138=TODAY(),"Đến hạn hôm nay",IF(J138-TODAY()&lt;=3,"Sắp đến hạn","Trong hạn"))))))</f>
        <v/>
      </c>
      <c r="Q138" s="9" t="str">
        <f aca="false">IF(OR(C138="",J138=""),"",WEEKNUM(J138,21))</f>
        <v/>
      </c>
      <c r="R138" s="2"/>
      <c r="S138" s="9" t="str">
        <f aca="true">IF(AND(C138&lt;&gt;"",K138&lt;&gt;"Hoàn thành",J138&lt;&gt;"",J138&lt;=TODAY()),MAX(S$5:S137)+1,"")</f>
        <v/>
      </c>
      <c r="T138" s="9" t="str">
        <f aca="false">IF(AND(C138&lt;&gt;"",IF(K138="","Chưa làm",K138)="Chưa làm"),MAX(T$5:T137)+1,"")</f>
        <v/>
      </c>
      <c r="U138" s="9" t="str">
        <f aca="false">IF(AND(C138&lt;&gt;"",IF(K138="","Chưa làm",K138)="Đang làm"),MAX(U$5:U137)+1,"")</f>
        <v/>
      </c>
      <c r="V138" s="9" t="str">
        <f aca="false">IF(AND(C138&lt;&gt;"",IF(K138="","Chưa làm",K138)="Chờ duyệt"),MAX(V$5:V137)+1,"")</f>
        <v/>
      </c>
      <c r="W138" s="9" t="str">
        <f aca="false">IF(AND(C138&lt;&gt;"",IF(K138="","Chưa làm",K138)="Hoàn thành"),MAX(W$5:W137)+1,"")</f>
        <v/>
      </c>
      <c r="X138" s="9" t="str">
        <f aca="false">IF(AND(C138&lt;&gt;"",K138&lt;&gt;"Hoàn thành",N138="1. Làm ngay"),MAX(X$5:X137)+1,"")</f>
        <v/>
      </c>
      <c r="Y138" s="9" t="str">
        <f aca="false">IF(AND(C138&lt;&gt;"",K138&lt;&gt;"Hoàn thành",N138="2. Lên lịch"),MAX(Y$5:Y137)+1,"")</f>
        <v/>
      </c>
      <c r="Z138" s="9" t="str">
        <f aca="false">IF(AND(C138&lt;&gt;"",K138&lt;&gt;"Hoàn thành",N138="3. Giao lại"),MAX(Z$5:Z137)+1,"")</f>
        <v/>
      </c>
      <c r="AA138" s="9" t="str">
        <f aca="false">IF(AND(C138&lt;&gt;"",K138&lt;&gt;"Hoàn thành",N138="4. Để sau"),MAX(AA$5:AA137)+1,"")</f>
        <v/>
      </c>
      <c r="AB138" s="9" t="str">
        <f aca="false">IF(AND(C138&lt;&gt;"",J138&lt;&gt;"",J138&gt;=TUAN!$C$3,J138&lt;=TUAN!$C$3+6),MAX(AB$5:AB137)+1,"")</f>
        <v/>
      </c>
    </row>
    <row r="139" customFormat="false" ht="15" hidden="false" customHeight="false" outlineLevel="0" collapsed="false">
      <c r="A139" s="9" t="str">
        <f aca="false">IF(C139="","","CV"&amp;TEXT(ROW()-5,"000"))</f>
        <v/>
      </c>
      <c r="B139" s="10"/>
      <c r="C139" s="11"/>
      <c r="D139" s="12"/>
      <c r="E139" s="12"/>
      <c r="F139" s="12"/>
      <c r="G139" s="12"/>
      <c r="H139" s="12"/>
      <c r="I139" s="12"/>
      <c r="J139" s="10"/>
      <c r="K139" s="12"/>
      <c r="L139" s="10"/>
      <c r="M139" s="12"/>
      <c r="N139" s="9" t="str">
        <f aca="false">IF(C139="","",IF(AND(H139="Có",I139="Có"),"1. Làm ngay",IF(H139="Có","2. Lên lịch",IF(I139="Có","3. Giao lại","4. Để sau"))))</f>
        <v/>
      </c>
      <c r="O139" s="9" t="str">
        <f aca="true">IF(OR(C139="",J139="",K139="Hoàn thành"),"",J139-TODAY())</f>
        <v/>
      </c>
      <c r="P139" s="9" t="str">
        <f aca="true">IF(C139="","",IF(K139="Hoàn thành",IF(OR(L139="",J139=""),"Xong (thiếu ngày)",IF(L139&lt;=J139,"Xong đúng hạn","Xong trễ")),IF(J139="","Chưa có hạn",IF(J139&lt;TODAY(),"Quá hạn",IF(J139=TODAY(),"Đến hạn hôm nay",IF(J139-TODAY()&lt;=3,"Sắp đến hạn","Trong hạn"))))))</f>
        <v/>
      </c>
      <c r="Q139" s="9" t="str">
        <f aca="false">IF(OR(C139="",J139=""),"",WEEKNUM(J139,21))</f>
        <v/>
      </c>
      <c r="R139" s="2"/>
      <c r="S139" s="9" t="str">
        <f aca="true">IF(AND(C139&lt;&gt;"",K139&lt;&gt;"Hoàn thành",J139&lt;&gt;"",J139&lt;=TODAY()),MAX(S$5:S138)+1,"")</f>
        <v/>
      </c>
      <c r="T139" s="9" t="str">
        <f aca="false">IF(AND(C139&lt;&gt;"",IF(K139="","Chưa làm",K139)="Chưa làm"),MAX(T$5:T138)+1,"")</f>
        <v/>
      </c>
      <c r="U139" s="9" t="str">
        <f aca="false">IF(AND(C139&lt;&gt;"",IF(K139="","Chưa làm",K139)="Đang làm"),MAX(U$5:U138)+1,"")</f>
        <v/>
      </c>
      <c r="V139" s="9" t="str">
        <f aca="false">IF(AND(C139&lt;&gt;"",IF(K139="","Chưa làm",K139)="Chờ duyệt"),MAX(V$5:V138)+1,"")</f>
        <v/>
      </c>
      <c r="W139" s="9" t="str">
        <f aca="false">IF(AND(C139&lt;&gt;"",IF(K139="","Chưa làm",K139)="Hoàn thành"),MAX(W$5:W138)+1,"")</f>
        <v/>
      </c>
      <c r="X139" s="9" t="str">
        <f aca="false">IF(AND(C139&lt;&gt;"",K139&lt;&gt;"Hoàn thành",N139="1. Làm ngay"),MAX(X$5:X138)+1,"")</f>
        <v/>
      </c>
      <c r="Y139" s="9" t="str">
        <f aca="false">IF(AND(C139&lt;&gt;"",K139&lt;&gt;"Hoàn thành",N139="2. Lên lịch"),MAX(Y$5:Y138)+1,"")</f>
        <v/>
      </c>
      <c r="Z139" s="9" t="str">
        <f aca="false">IF(AND(C139&lt;&gt;"",K139&lt;&gt;"Hoàn thành",N139="3. Giao lại"),MAX(Z$5:Z138)+1,"")</f>
        <v/>
      </c>
      <c r="AA139" s="9" t="str">
        <f aca="false">IF(AND(C139&lt;&gt;"",K139&lt;&gt;"Hoàn thành",N139="4. Để sau"),MAX(AA$5:AA138)+1,"")</f>
        <v/>
      </c>
      <c r="AB139" s="9" t="str">
        <f aca="false">IF(AND(C139&lt;&gt;"",J139&lt;&gt;"",J139&gt;=TUAN!$C$3,J139&lt;=TUAN!$C$3+6),MAX(AB$5:AB138)+1,"")</f>
        <v/>
      </c>
    </row>
    <row r="140" customFormat="false" ht="15" hidden="false" customHeight="false" outlineLevel="0" collapsed="false">
      <c r="A140" s="9" t="str">
        <f aca="false">IF(C140="","","CV"&amp;TEXT(ROW()-5,"000"))</f>
        <v/>
      </c>
      <c r="B140" s="10"/>
      <c r="C140" s="11"/>
      <c r="D140" s="12"/>
      <c r="E140" s="12"/>
      <c r="F140" s="12"/>
      <c r="G140" s="12"/>
      <c r="H140" s="12"/>
      <c r="I140" s="12"/>
      <c r="J140" s="10"/>
      <c r="K140" s="12"/>
      <c r="L140" s="10"/>
      <c r="M140" s="12"/>
      <c r="N140" s="9" t="str">
        <f aca="false">IF(C140="","",IF(AND(H140="Có",I140="Có"),"1. Làm ngay",IF(H140="Có","2. Lên lịch",IF(I140="Có","3. Giao lại","4. Để sau"))))</f>
        <v/>
      </c>
      <c r="O140" s="9" t="str">
        <f aca="true">IF(OR(C140="",J140="",K140="Hoàn thành"),"",J140-TODAY())</f>
        <v/>
      </c>
      <c r="P140" s="9" t="str">
        <f aca="true">IF(C140="","",IF(K140="Hoàn thành",IF(OR(L140="",J140=""),"Xong (thiếu ngày)",IF(L140&lt;=J140,"Xong đúng hạn","Xong trễ")),IF(J140="","Chưa có hạn",IF(J140&lt;TODAY(),"Quá hạn",IF(J140=TODAY(),"Đến hạn hôm nay",IF(J140-TODAY()&lt;=3,"Sắp đến hạn","Trong hạn"))))))</f>
        <v/>
      </c>
      <c r="Q140" s="9" t="str">
        <f aca="false">IF(OR(C140="",J140=""),"",WEEKNUM(J140,21))</f>
        <v/>
      </c>
      <c r="R140" s="2"/>
      <c r="S140" s="9" t="str">
        <f aca="true">IF(AND(C140&lt;&gt;"",K140&lt;&gt;"Hoàn thành",J140&lt;&gt;"",J140&lt;=TODAY()),MAX(S$5:S139)+1,"")</f>
        <v/>
      </c>
      <c r="T140" s="9" t="str">
        <f aca="false">IF(AND(C140&lt;&gt;"",IF(K140="","Chưa làm",K140)="Chưa làm"),MAX(T$5:T139)+1,"")</f>
        <v/>
      </c>
      <c r="U140" s="9" t="str">
        <f aca="false">IF(AND(C140&lt;&gt;"",IF(K140="","Chưa làm",K140)="Đang làm"),MAX(U$5:U139)+1,"")</f>
        <v/>
      </c>
      <c r="V140" s="9" t="str">
        <f aca="false">IF(AND(C140&lt;&gt;"",IF(K140="","Chưa làm",K140)="Chờ duyệt"),MAX(V$5:V139)+1,"")</f>
        <v/>
      </c>
      <c r="W140" s="9" t="str">
        <f aca="false">IF(AND(C140&lt;&gt;"",IF(K140="","Chưa làm",K140)="Hoàn thành"),MAX(W$5:W139)+1,"")</f>
        <v/>
      </c>
      <c r="X140" s="9" t="str">
        <f aca="false">IF(AND(C140&lt;&gt;"",K140&lt;&gt;"Hoàn thành",N140="1. Làm ngay"),MAX(X$5:X139)+1,"")</f>
        <v/>
      </c>
      <c r="Y140" s="9" t="str">
        <f aca="false">IF(AND(C140&lt;&gt;"",K140&lt;&gt;"Hoàn thành",N140="2. Lên lịch"),MAX(Y$5:Y139)+1,"")</f>
        <v/>
      </c>
      <c r="Z140" s="9" t="str">
        <f aca="false">IF(AND(C140&lt;&gt;"",K140&lt;&gt;"Hoàn thành",N140="3. Giao lại"),MAX(Z$5:Z139)+1,"")</f>
        <v/>
      </c>
      <c r="AA140" s="9" t="str">
        <f aca="false">IF(AND(C140&lt;&gt;"",K140&lt;&gt;"Hoàn thành",N140="4. Để sau"),MAX(AA$5:AA139)+1,"")</f>
        <v/>
      </c>
      <c r="AB140" s="9" t="str">
        <f aca="false">IF(AND(C140&lt;&gt;"",J140&lt;&gt;"",J140&gt;=TUAN!$C$3,J140&lt;=TUAN!$C$3+6),MAX(AB$5:AB139)+1,"")</f>
        <v/>
      </c>
    </row>
    <row r="141" customFormat="false" ht="15" hidden="false" customHeight="false" outlineLevel="0" collapsed="false">
      <c r="A141" s="9" t="str">
        <f aca="false">IF(C141="","","CV"&amp;TEXT(ROW()-5,"000"))</f>
        <v/>
      </c>
      <c r="B141" s="10"/>
      <c r="C141" s="11"/>
      <c r="D141" s="12"/>
      <c r="E141" s="12"/>
      <c r="F141" s="12"/>
      <c r="G141" s="12"/>
      <c r="H141" s="12"/>
      <c r="I141" s="12"/>
      <c r="J141" s="10"/>
      <c r="K141" s="12"/>
      <c r="L141" s="10"/>
      <c r="M141" s="12"/>
      <c r="N141" s="9" t="str">
        <f aca="false">IF(C141="","",IF(AND(H141="Có",I141="Có"),"1. Làm ngay",IF(H141="Có","2. Lên lịch",IF(I141="Có","3. Giao lại","4. Để sau"))))</f>
        <v/>
      </c>
      <c r="O141" s="9" t="str">
        <f aca="true">IF(OR(C141="",J141="",K141="Hoàn thành"),"",J141-TODAY())</f>
        <v/>
      </c>
      <c r="P141" s="9" t="str">
        <f aca="true">IF(C141="","",IF(K141="Hoàn thành",IF(OR(L141="",J141=""),"Xong (thiếu ngày)",IF(L141&lt;=J141,"Xong đúng hạn","Xong trễ")),IF(J141="","Chưa có hạn",IF(J141&lt;TODAY(),"Quá hạn",IF(J141=TODAY(),"Đến hạn hôm nay",IF(J141-TODAY()&lt;=3,"Sắp đến hạn","Trong hạn"))))))</f>
        <v/>
      </c>
      <c r="Q141" s="9" t="str">
        <f aca="false">IF(OR(C141="",J141=""),"",WEEKNUM(J141,21))</f>
        <v/>
      </c>
      <c r="R141" s="2"/>
      <c r="S141" s="9" t="str">
        <f aca="true">IF(AND(C141&lt;&gt;"",K141&lt;&gt;"Hoàn thành",J141&lt;&gt;"",J141&lt;=TODAY()),MAX(S$5:S140)+1,"")</f>
        <v/>
      </c>
      <c r="T141" s="9" t="str">
        <f aca="false">IF(AND(C141&lt;&gt;"",IF(K141="","Chưa làm",K141)="Chưa làm"),MAX(T$5:T140)+1,"")</f>
        <v/>
      </c>
      <c r="U141" s="9" t="str">
        <f aca="false">IF(AND(C141&lt;&gt;"",IF(K141="","Chưa làm",K141)="Đang làm"),MAX(U$5:U140)+1,"")</f>
        <v/>
      </c>
      <c r="V141" s="9" t="str">
        <f aca="false">IF(AND(C141&lt;&gt;"",IF(K141="","Chưa làm",K141)="Chờ duyệt"),MAX(V$5:V140)+1,"")</f>
        <v/>
      </c>
      <c r="W141" s="9" t="str">
        <f aca="false">IF(AND(C141&lt;&gt;"",IF(K141="","Chưa làm",K141)="Hoàn thành"),MAX(W$5:W140)+1,"")</f>
        <v/>
      </c>
      <c r="X141" s="9" t="str">
        <f aca="false">IF(AND(C141&lt;&gt;"",K141&lt;&gt;"Hoàn thành",N141="1. Làm ngay"),MAX(X$5:X140)+1,"")</f>
        <v/>
      </c>
      <c r="Y141" s="9" t="str">
        <f aca="false">IF(AND(C141&lt;&gt;"",K141&lt;&gt;"Hoàn thành",N141="2. Lên lịch"),MAX(Y$5:Y140)+1,"")</f>
        <v/>
      </c>
      <c r="Z141" s="9" t="str">
        <f aca="false">IF(AND(C141&lt;&gt;"",K141&lt;&gt;"Hoàn thành",N141="3. Giao lại"),MAX(Z$5:Z140)+1,"")</f>
        <v/>
      </c>
      <c r="AA141" s="9" t="str">
        <f aca="false">IF(AND(C141&lt;&gt;"",K141&lt;&gt;"Hoàn thành",N141="4. Để sau"),MAX(AA$5:AA140)+1,"")</f>
        <v/>
      </c>
      <c r="AB141" s="9" t="str">
        <f aca="false">IF(AND(C141&lt;&gt;"",J141&lt;&gt;"",J141&gt;=TUAN!$C$3,J141&lt;=TUAN!$C$3+6),MAX(AB$5:AB140)+1,"")</f>
        <v/>
      </c>
    </row>
    <row r="142" customFormat="false" ht="15" hidden="false" customHeight="false" outlineLevel="0" collapsed="false">
      <c r="A142" s="9" t="str">
        <f aca="false">IF(C142="","","CV"&amp;TEXT(ROW()-5,"000"))</f>
        <v/>
      </c>
      <c r="B142" s="10"/>
      <c r="C142" s="11"/>
      <c r="D142" s="12"/>
      <c r="E142" s="12"/>
      <c r="F142" s="12"/>
      <c r="G142" s="12"/>
      <c r="H142" s="12"/>
      <c r="I142" s="12"/>
      <c r="J142" s="10"/>
      <c r="K142" s="12"/>
      <c r="L142" s="10"/>
      <c r="M142" s="12"/>
      <c r="N142" s="9" t="str">
        <f aca="false">IF(C142="","",IF(AND(H142="Có",I142="Có"),"1. Làm ngay",IF(H142="Có","2. Lên lịch",IF(I142="Có","3. Giao lại","4. Để sau"))))</f>
        <v/>
      </c>
      <c r="O142" s="9" t="str">
        <f aca="true">IF(OR(C142="",J142="",K142="Hoàn thành"),"",J142-TODAY())</f>
        <v/>
      </c>
      <c r="P142" s="9" t="str">
        <f aca="true">IF(C142="","",IF(K142="Hoàn thành",IF(OR(L142="",J142=""),"Xong (thiếu ngày)",IF(L142&lt;=J142,"Xong đúng hạn","Xong trễ")),IF(J142="","Chưa có hạn",IF(J142&lt;TODAY(),"Quá hạn",IF(J142=TODAY(),"Đến hạn hôm nay",IF(J142-TODAY()&lt;=3,"Sắp đến hạn","Trong hạn"))))))</f>
        <v/>
      </c>
      <c r="Q142" s="9" t="str">
        <f aca="false">IF(OR(C142="",J142=""),"",WEEKNUM(J142,21))</f>
        <v/>
      </c>
      <c r="R142" s="2"/>
      <c r="S142" s="9" t="str">
        <f aca="true">IF(AND(C142&lt;&gt;"",K142&lt;&gt;"Hoàn thành",J142&lt;&gt;"",J142&lt;=TODAY()),MAX(S$5:S141)+1,"")</f>
        <v/>
      </c>
      <c r="T142" s="9" t="str">
        <f aca="false">IF(AND(C142&lt;&gt;"",IF(K142="","Chưa làm",K142)="Chưa làm"),MAX(T$5:T141)+1,"")</f>
        <v/>
      </c>
      <c r="U142" s="9" t="str">
        <f aca="false">IF(AND(C142&lt;&gt;"",IF(K142="","Chưa làm",K142)="Đang làm"),MAX(U$5:U141)+1,"")</f>
        <v/>
      </c>
      <c r="V142" s="9" t="str">
        <f aca="false">IF(AND(C142&lt;&gt;"",IF(K142="","Chưa làm",K142)="Chờ duyệt"),MAX(V$5:V141)+1,"")</f>
        <v/>
      </c>
      <c r="W142" s="9" t="str">
        <f aca="false">IF(AND(C142&lt;&gt;"",IF(K142="","Chưa làm",K142)="Hoàn thành"),MAX(W$5:W141)+1,"")</f>
        <v/>
      </c>
      <c r="X142" s="9" t="str">
        <f aca="false">IF(AND(C142&lt;&gt;"",K142&lt;&gt;"Hoàn thành",N142="1. Làm ngay"),MAX(X$5:X141)+1,"")</f>
        <v/>
      </c>
      <c r="Y142" s="9" t="str">
        <f aca="false">IF(AND(C142&lt;&gt;"",K142&lt;&gt;"Hoàn thành",N142="2. Lên lịch"),MAX(Y$5:Y141)+1,"")</f>
        <v/>
      </c>
      <c r="Z142" s="9" t="str">
        <f aca="false">IF(AND(C142&lt;&gt;"",K142&lt;&gt;"Hoàn thành",N142="3. Giao lại"),MAX(Z$5:Z141)+1,"")</f>
        <v/>
      </c>
      <c r="AA142" s="9" t="str">
        <f aca="false">IF(AND(C142&lt;&gt;"",K142&lt;&gt;"Hoàn thành",N142="4. Để sau"),MAX(AA$5:AA141)+1,"")</f>
        <v/>
      </c>
      <c r="AB142" s="9" t="str">
        <f aca="false">IF(AND(C142&lt;&gt;"",J142&lt;&gt;"",J142&gt;=TUAN!$C$3,J142&lt;=TUAN!$C$3+6),MAX(AB$5:AB141)+1,"")</f>
        <v/>
      </c>
    </row>
    <row r="143" customFormat="false" ht="15" hidden="false" customHeight="false" outlineLevel="0" collapsed="false">
      <c r="A143" s="9" t="str">
        <f aca="false">IF(C143="","","CV"&amp;TEXT(ROW()-5,"000"))</f>
        <v/>
      </c>
      <c r="B143" s="10"/>
      <c r="C143" s="11"/>
      <c r="D143" s="12"/>
      <c r="E143" s="12"/>
      <c r="F143" s="12"/>
      <c r="G143" s="12"/>
      <c r="H143" s="12"/>
      <c r="I143" s="12"/>
      <c r="J143" s="10"/>
      <c r="K143" s="12"/>
      <c r="L143" s="10"/>
      <c r="M143" s="12"/>
      <c r="N143" s="9" t="str">
        <f aca="false">IF(C143="","",IF(AND(H143="Có",I143="Có"),"1. Làm ngay",IF(H143="Có","2. Lên lịch",IF(I143="Có","3. Giao lại","4. Để sau"))))</f>
        <v/>
      </c>
      <c r="O143" s="9" t="str">
        <f aca="true">IF(OR(C143="",J143="",K143="Hoàn thành"),"",J143-TODAY())</f>
        <v/>
      </c>
      <c r="P143" s="9" t="str">
        <f aca="true">IF(C143="","",IF(K143="Hoàn thành",IF(OR(L143="",J143=""),"Xong (thiếu ngày)",IF(L143&lt;=J143,"Xong đúng hạn","Xong trễ")),IF(J143="","Chưa có hạn",IF(J143&lt;TODAY(),"Quá hạn",IF(J143=TODAY(),"Đến hạn hôm nay",IF(J143-TODAY()&lt;=3,"Sắp đến hạn","Trong hạn"))))))</f>
        <v/>
      </c>
      <c r="Q143" s="9" t="str">
        <f aca="false">IF(OR(C143="",J143=""),"",WEEKNUM(J143,21))</f>
        <v/>
      </c>
      <c r="R143" s="2"/>
      <c r="S143" s="9" t="str">
        <f aca="true">IF(AND(C143&lt;&gt;"",K143&lt;&gt;"Hoàn thành",J143&lt;&gt;"",J143&lt;=TODAY()),MAX(S$5:S142)+1,"")</f>
        <v/>
      </c>
      <c r="T143" s="9" t="str">
        <f aca="false">IF(AND(C143&lt;&gt;"",IF(K143="","Chưa làm",K143)="Chưa làm"),MAX(T$5:T142)+1,"")</f>
        <v/>
      </c>
      <c r="U143" s="9" t="str">
        <f aca="false">IF(AND(C143&lt;&gt;"",IF(K143="","Chưa làm",K143)="Đang làm"),MAX(U$5:U142)+1,"")</f>
        <v/>
      </c>
      <c r="V143" s="9" t="str">
        <f aca="false">IF(AND(C143&lt;&gt;"",IF(K143="","Chưa làm",K143)="Chờ duyệt"),MAX(V$5:V142)+1,"")</f>
        <v/>
      </c>
      <c r="W143" s="9" t="str">
        <f aca="false">IF(AND(C143&lt;&gt;"",IF(K143="","Chưa làm",K143)="Hoàn thành"),MAX(W$5:W142)+1,"")</f>
        <v/>
      </c>
      <c r="X143" s="9" t="str">
        <f aca="false">IF(AND(C143&lt;&gt;"",K143&lt;&gt;"Hoàn thành",N143="1. Làm ngay"),MAX(X$5:X142)+1,"")</f>
        <v/>
      </c>
      <c r="Y143" s="9" t="str">
        <f aca="false">IF(AND(C143&lt;&gt;"",K143&lt;&gt;"Hoàn thành",N143="2. Lên lịch"),MAX(Y$5:Y142)+1,"")</f>
        <v/>
      </c>
      <c r="Z143" s="9" t="str">
        <f aca="false">IF(AND(C143&lt;&gt;"",K143&lt;&gt;"Hoàn thành",N143="3. Giao lại"),MAX(Z$5:Z142)+1,"")</f>
        <v/>
      </c>
      <c r="AA143" s="9" t="str">
        <f aca="false">IF(AND(C143&lt;&gt;"",K143&lt;&gt;"Hoàn thành",N143="4. Để sau"),MAX(AA$5:AA142)+1,"")</f>
        <v/>
      </c>
      <c r="AB143" s="9" t="str">
        <f aca="false">IF(AND(C143&lt;&gt;"",J143&lt;&gt;"",J143&gt;=TUAN!$C$3,J143&lt;=TUAN!$C$3+6),MAX(AB$5:AB142)+1,"")</f>
        <v/>
      </c>
    </row>
    <row r="144" customFormat="false" ht="15" hidden="false" customHeight="false" outlineLevel="0" collapsed="false">
      <c r="A144" s="9" t="str">
        <f aca="false">IF(C144="","","CV"&amp;TEXT(ROW()-5,"000"))</f>
        <v/>
      </c>
      <c r="B144" s="10"/>
      <c r="C144" s="11"/>
      <c r="D144" s="12"/>
      <c r="E144" s="12"/>
      <c r="F144" s="12"/>
      <c r="G144" s="12"/>
      <c r="H144" s="12"/>
      <c r="I144" s="12"/>
      <c r="J144" s="10"/>
      <c r="K144" s="12"/>
      <c r="L144" s="10"/>
      <c r="M144" s="12"/>
      <c r="N144" s="9" t="str">
        <f aca="false">IF(C144="","",IF(AND(H144="Có",I144="Có"),"1. Làm ngay",IF(H144="Có","2. Lên lịch",IF(I144="Có","3. Giao lại","4. Để sau"))))</f>
        <v/>
      </c>
      <c r="O144" s="9" t="str">
        <f aca="true">IF(OR(C144="",J144="",K144="Hoàn thành"),"",J144-TODAY())</f>
        <v/>
      </c>
      <c r="P144" s="9" t="str">
        <f aca="true">IF(C144="","",IF(K144="Hoàn thành",IF(OR(L144="",J144=""),"Xong (thiếu ngày)",IF(L144&lt;=J144,"Xong đúng hạn","Xong trễ")),IF(J144="","Chưa có hạn",IF(J144&lt;TODAY(),"Quá hạn",IF(J144=TODAY(),"Đến hạn hôm nay",IF(J144-TODAY()&lt;=3,"Sắp đến hạn","Trong hạn"))))))</f>
        <v/>
      </c>
      <c r="Q144" s="9" t="str">
        <f aca="false">IF(OR(C144="",J144=""),"",WEEKNUM(J144,21))</f>
        <v/>
      </c>
      <c r="R144" s="2"/>
      <c r="S144" s="9" t="str">
        <f aca="true">IF(AND(C144&lt;&gt;"",K144&lt;&gt;"Hoàn thành",J144&lt;&gt;"",J144&lt;=TODAY()),MAX(S$5:S143)+1,"")</f>
        <v/>
      </c>
      <c r="T144" s="9" t="str">
        <f aca="false">IF(AND(C144&lt;&gt;"",IF(K144="","Chưa làm",K144)="Chưa làm"),MAX(T$5:T143)+1,"")</f>
        <v/>
      </c>
      <c r="U144" s="9" t="str">
        <f aca="false">IF(AND(C144&lt;&gt;"",IF(K144="","Chưa làm",K144)="Đang làm"),MAX(U$5:U143)+1,"")</f>
        <v/>
      </c>
      <c r="V144" s="9" t="str">
        <f aca="false">IF(AND(C144&lt;&gt;"",IF(K144="","Chưa làm",K144)="Chờ duyệt"),MAX(V$5:V143)+1,"")</f>
        <v/>
      </c>
      <c r="W144" s="9" t="str">
        <f aca="false">IF(AND(C144&lt;&gt;"",IF(K144="","Chưa làm",K144)="Hoàn thành"),MAX(W$5:W143)+1,"")</f>
        <v/>
      </c>
      <c r="X144" s="9" t="str">
        <f aca="false">IF(AND(C144&lt;&gt;"",K144&lt;&gt;"Hoàn thành",N144="1. Làm ngay"),MAX(X$5:X143)+1,"")</f>
        <v/>
      </c>
      <c r="Y144" s="9" t="str">
        <f aca="false">IF(AND(C144&lt;&gt;"",K144&lt;&gt;"Hoàn thành",N144="2. Lên lịch"),MAX(Y$5:Y143)+1,"")</f>
        <v/>
      </c>
      <c r="Z144" s="9" t="str">
        <f aca="false">IF(AND(C144&lt;&gt;"",K144&lt;&gt;"Hoàn thành",N144="3. Giao lại"),MAX(Z$5:Z143)+1,"")</f>
        <v/>
      </c>
      <c r="AA144" s="9" t="str">
        <f aca="false">IF(AND(C144&lt;&gt;"",K144&lt;&gt;"Hoàn thành",N144="4. Để sau"),MAX(AA$5:AA143)+1,"")</f>
        <v/>
      </c>
      <c r="AB144" s="9" t="str">
        <f aca="false">IF(AND(C144&lt;&gt;"",J144&lt;&gt;"",J144&gt;=TUAN!$C$3,J144&lt;=TUAN!$C$3+6),MAX(AB$5:AB143)+1,"")</f>
        <v/>
      </c>
    </row>
    <row r="145" customFormat="false" ht="15" hidden="false" customHeight="false" outlineLevel="0" collapsed="false">
      <c r="A145" s="9" t="str">
        <f aca="false">IF(C145="","","CV"&amp;TEXT(ROW()-5,"000"))</f>
        <v/>
      </c>
      <c r="B145" s="10"/>
      <c r="C145" s="11"/>
      <c r="D145" s="12"/>
      <c r="E145" s="12"/>
      <c r="F145" s="12"/>
      <c r="G145" s="12"/>
      <c r="H145" s="12"/>
      <c r="I145" s="12"/>
      <c r="J145" s="10"/>
      <c r="K145" s="12"/>
      <c r="L145" s="10"/>
      <c r="M145" s="12"/>
      <c r="N145" s="9" t="str">
        <f aca="false">IF(C145="","",IF(AND(H145="Có",I145="Có"),"1. Làm ngay",IF(H145="Có","2. Lên lịch",IF(I145="Có","3. Giao lại","4. Để sau"))))</f>
        <v/>
      </c>
      <c r="O145" s="9" t="str">
        <f aca="true">IF(OR(C145="",J145="",K145="Hoàn thành"),"",J145-TODAY())</f>
        <v/>
      </c>
      <c r="P145" s="9" t="str">
        <f aca="true">IF(C145="","",IF(K145="Hoàn thành",IF(OR(L145="",J145=""),"Xong (thiếu ngày)",IF(L145&lt;=J145,"Xong đúng hạn","Xong trễ")),IF(J145="","Chưa có hạn",IF(J145&lt;TODAY(),"Quá hạn",IF(J145=TODAY(),"Đến hạn hôm nay",IF(J145-TODAY()&lt;=3,"Sắp đến hạn","Trong hạn"))))))</f>
        <v/>
      </c>
      <c r="Q145" s="9" t="str">
        <f aca="false">IF(OR(C145="",J145=""),"",WEEKNUM(J145,21))</f>
        <v/>
      </c>
      <c r="R145" s="2"/>
      <c r="S145" s="9" t="str">
        <f aca="true">IF(AND(C145&lt;&gt;"",K145&lt;&gt;"Hoàn thành",J145&lt;&gt;"",J145&lt;=TODAY()),MAX(S$5:S144)+1,"")</f>
        <v/>
      </c>
      <c r="T145" s="9" t="str">
        <f aca="false">IF(AND(C145&lt;&gt;"",IF(K145="","Chưa làm",K145)="Chưa làm"),MAX(T$5:T144)+1,"")</f>
        <v/>
      </c>
      <c r="U145" s="9" t="str">
        <f aca="false">IF(AND(C145&lt;&gt;"",IF(K145="","Chưa làm",K145)="Đang làm"),MAX(U$5:U144)+1,"")</f>
        <v/>
      </c>
      <c r="V145" s="9" t="str">
        <f aca="false">IF(AND(C145&lt;&gt;"",IF(K145="","Chưa làm",K145)="Chờ duyệt"),MAX(V$5:V144)+1,"")</f>
        <v/>
      </c>
      <c r="W145" s="9" t="str">
        <f aca="false">IF(AND(C145&lt;&gt;"",IF(K145="","Chưa làm",K145)="Hoàn thành"),MAX(W$5:W144)+1,"")</f>
        <v/>
      </c>
      <c r="X145" s="9" t="str">
        <f aca="false">IF(AND(C145&lt;&gt;"",K145&lt;&gt;"Hoàn thành",N145="1. Làm ngay"),MAX(X$5:X144)+1,"")</f>
        <v/>
      </c>
      <c r="Y145" s="9" t="str">
        <f aca="false">IF(AND(C145&lt;&gt;"",K145&lt;&gt;"Hoàn thành",N145="2. Lên lịch"),MAX(Y$5:Y144)+1,"")</f>
        <v/>
      </c>
      <c r="Z145" s="9" t="str">
        <f aca="false">IF(AND(C145&lt;&gt;"",K145&lt;&gt;"Hoàn thành",N145="3. Giao lại"),MAX(Z$5:Z144)+1,"")</f>
        <v/>
      </c>
      <c r="AA145" s="9" t="str">
        <f aca="false">IF(AND(C145&lt;&gt;"",K145&lt;&gt;"Hoàn thành",N145="4. Để sau"),MAX(AA$5:AA144)+1,"")</f>
        <v/>
      </c>
      <c r="AB145" s="9" t="str">
        <f aca="false">IF(AND(C145&lt;&gt;"",J145&lt;&gt;"",J145&gt;=TUAN!$C$3,J145&lt;=TUAN!$C$3+6),MAX(AB$5:AB144)+1,"")</f>
        <v/>
      </c>
    </row>
    <row r="146" customFormat="false" ht="15" hidden="false" customHeight="false" outlineLevel="0" collapsed="false">
      <c r="A146" s="9" t="str">
        <f aca="false">IF(C146="","","CV"&amp;TEXT(ROW()-5,"000"))</f>
        <v/>
      </c>
      <c r="B146" s="10"/>
      <c r="C146" s="11"/>
      <c r="D146" s="12"/>
      <c r="E146" s="12"/>
      <c r="F146" s="12"/>
      <c r="G146" s="12"/>
      <c r="H146" s="12"/>
      <c r="I146" s="12"/>
      <c r="J146" s="10"/>
      <c r="K146" s="12"/>
      <c r="L146" s="10"/>
      <c r="M146" s="12"/>
      <c r="N146" s="9" t="str">
        <f aca="false">IF(C146="","",IF(AND(H146="Có",I146="Có"),"1. Làm ngay",IF(H146="Có","2. Lên lịch",IF(I146="Có","3. Giao lại","4. Để sau"))))</f>
        <v/>
      </c>
      <c r="O146" s="9" t="str">
        <f aca="true">IF(OR(C146="",J146="",K146="Hoàn thành"),"",J146-TODAY())</f>
        <v/>
      </c>
      <c r="P146" s="9" t="str">
        <f aca="true">IF(C146="","",IF(K146="Hoàn thành",IF(OR(L146="",J146=""),"Xong (thiếu ngày)",IF(L146&lt;=J146,"Xong đúng hạn","Xong trễ")),IF(J146="","Chưa có hạn",IF(J146&lt;TODAY(),"Quá hạn",IF(J146=TODAY(),"Đến hạn hôm nay",IF(J146-TODAY()&lt;=3,"Sắp đến hạn","Trong hạn"))))))</f>
        <v/>
      </c>
      <c r="Q146" s="9" t="str">
        <f aca="false">IF(OR(C146="",J146=""),"",WEEKNUM(J146,21))</f>
        <v/>
      </c>
      <c r="R146" s="2"/>
      <c r="S146" s="9" t="str">
        <f aca="true">IF(AND(C146&lt;&gt;"",K146&lt;&gt;"Hoàn thành",J146&lt;&gt;"",J146&lt;=TODAY()),MAX(S$5:S145)+1,"")</f>
        <v/>
      </c>
      <c r="T146" s="9" t="str">
        <f aca="false">IF(AND(C146&lt;&gt;"",IF(K146="","Chưa làm",K146)="Chưa làm"),MAX(T$5:T145)+1,"")</f>
        <v/>
      </c>
      <c r="U146" s="9" t="str">
        <f aca="false">IF(AND(C146&lt;&gt;"",IF(K146="","Chưa làm",K146)="Đang làm"),MAX(U$5:U145)+1,"")</f>
        <v/>
      </c>
      <c r="V146" s="9" t="str">
        <f aca="false">IF(AND(C146&lt;&gt;"",IF(K146="","Chưa làm",K146)="Chờ duyệt"),MAX(V$5:V145)+1,"")</f>
        <v/>
      </c>
      <c r="W146" s="9" t="str">
        <f aca="false">IF(AND(C146&lt;&gt;"",IF(K146="","Chưa làm",K146)="Hoàn thành"),MAX(W$5:W145)+1,"")</f>
        <v/>
      </c>
      <c r="X146" s="9" t="str">
        <f aca="false">IF(AND(C146&lt;&gt;"",K146&lt;&gt;"Hoàn thành",N146="1. Làm ngay"),MAX(X$5:X145)+1,"")</f>
        <v/>
      </c>
      <c r="Y146" s="9" t="str">
        <f aca="false">IF(AND(C146&lt;&gt;"",K146&lt;&gt;"Hoàn thành",N146="2. Lên lịch"),MAX(Y$5:Y145)+1,"")</f>
        <v/>
      </c>
      <c r="Z146" s="9" t="str">
        <f aca="false">IF(AND(C146&lt;&gt;"",K146&lt;&gt;"Hoàn thành",N146="3. Giao lại"),MAX(Z$5:Z145)+1,"")</f>
        <v/>
      </c>
      <c r="AA146" s="9" t="str">
        <f aca="false">IF(AND(C146&lt;&gt;"",K146&lt;&gt;"Hoàn thành",N146="4. Để sau"),MAX(AA$5:AA145)+1,"")</f>
        <v/>
      </c>
      <c r="AB146" s="9" t="str">
        <f aca="false">IF(AND(C146&lt;&gt;"",J146&lt;&gt;"",J146&gt;=TUAN!$C$3,J146&lt;=TUAN!$C$3+6),MAX(AB$5:AB145)+1,"")</f>
        <v/>
      </c>
    </row>
    <row r="147" customFormat="false" ht="15" hidden="false" customHeight="false" outlineLevel="0" collapsed="false">
      <c r="A147" s="9" t="str">
        <f aca="false">IF(C147="","","CV"&amp;TEXT(ROW()-5,"000"))</f>
        <v/>
      </c>
      <c r="B147" s="10"/>
      <c r="C147" s="11"/>
      <c r="D147" s="12"/>
      <c r="E147" s="12"/>
      <c r="F147" s="12"/>
      <c r="G147" s="12"/>
      <c r="H147" s="12"/>
      <c r="I147" s="12"/>
      <c r="J147" s="10"/>
      <c r="K147" s="12"/>
      <c r="L147" s="10"/>
      <c r="M147" s="12"/>
      <c r="N147" s="9" t="str">
        <f aca="false">IF(C147="","",IF(AND(H147="Có",I147="Có"),"1. Làm ngay",IF(H147="Có","2. Lên lịch",IF(I147="Có","3. Giao lại","4. Để sau"))))</f>
        <v/>
      </c>
      <c r="O147" s="9" t="str">
        <f aca="true">IF(OR(C147="",J147="",K147="Hoàn thành"),"",J147-TODAY())</f>
        <v/>
      </c>
      <c r="P147" s="9" t="str">
        <f aca="true">IF(C147="","",IF(K147="Hoàn thành",IF(OR(L147="",J147=""),"Xong (thiếu ngày)",IF(L147&lt;=J147,"Xong đúng hạn","Xong trễ")),IF(J147="","Chưa có hạn",IF(J147&lt;TODAY(),"Quá hạn",IF(J147=TODAY(),"Đến hạn hôm nay",IF(J147-TODAY()&lt;=3,"Sắp đến hạn","Trong hạn"))))))</f>
        <v/>
      </c>
      <c r="Q147" s="9" t="str">
        <f aca="false">IF(OR(C147="",J147=""),"",WEEKNUM(J147,21))</f>
        <v/>
      </c>
      <c r="R147" s="2"/>
      <c r="S147" s="9" t="str">
        <f aca="true">IF(AND(C147&lt;&gt;"",K147&lt;&gt;"Hoàn thành",J147&lt;&gt;"",J147&lt;=TODAY()),MAX(S$5:S146)+1,"")</f>
        <v/>
      </c>
      <c r="T147" s="9" t="str">
        <f aca="false">IF(AND(C147&lt;&gt;"",IF(K147="","Chưa làm",K147)="Chưa làm"),MAX(T$5:T146)+1,"")</f>
        <v/>
      </c>
      <c r="U147" s="9" t="str">
        <f aca="false">IF(AND(C147&lt;&gt;"",IF(K147="","Chưa làm",K147)="Đang làm"),MAX(U$5:U146)+1,"")</f>
        <v/>
      </c>
      <c r="V147" s="9" t="str">
        <f aca="false">IF(AND(C147&lt;&gt;"",IF(K147="","Chưa làm",K147)="Chờ duyệt"),MAX(V$5:V146)+1,"")</f>
        <v/>
      </c>
      <c r="W147" s="9" t="str">
        <f aca="false">IF(AND(C147&lt;&gt;"",IF(K147="","Chưa làm",K147)="Hoàn thành"),MAX(W$5:W146)+1,"")</f>
        <v/>
      </c>
      <c r="X147" s="9" t="str">
        <f aca="false">IF(AND(C147&lt;&gt;"",K147&lt;&gt;"Hoàn thành",N147="1. Làm ngay"),MAX(X$5:X146)+1,"")</f>
        <v/>
      </c>
      <c r="Y147" s="9" t="str">
        <f aca="false">IF(AND(C147&lt;&gt;"",K147&lt;&gt;"Hoàn thành",N147="2. Lên lịch"),MAX(Y$5:Y146)+1,"")</f>
        <v/>
      </c>
      <c r="Z147" s="9" t="str">
        <f aca="false">IF(AND(C147&lt;&gt;"",K147&lt;&gt;"Hoàn thành",N147="3. Giao lại"),MAX(Z$5:Z146)+1,"")</f>
        <v/>
      </c>
      <c r="AA147" s="9" t="str">
        <f aca="false">IF(AND(C147&lt;&gt;"",K147&lt;&gt;"Hoàn thành",N147="4. Để sau"),MAX(AA$5:AA146)+1,"")</f>
        <v/>
      </c>
      <c r="AB147" s="9" t="str">
        <f aca="false">IF(AND(C147&lt;&gt;"",J147&lt;&gt;"",J147&gt;=TUAN!$C$3,J147&lt;=TUAN!$C$3+6),MAX(AB$5:AB146)+1,"")</f>
        <v/>
      </c>
    </row>
    <row r="148" customFormat="false" ht="15" hidden="false" customHeight="false" outlineLevel="0" collapsed="false">
      <c r="A148" s="9" t="str">
        <f aca="false">IF(C148="","","CV"&amp;TEXT(ROW()-5,"000"))</f>
        <v/>
      </c>
      <c r="B148" s="10"/>
      <c r="C148" s="11"/>
      <c r="D148" s="12"/>
      <c r="E148" s="12"/>
      <c r="F148" s="12"/>
      <c r="G148" s="12"/>
      <c r="H148" s="12"/>
      <c r="I148" s="12"/>
      <c r="J148" s="10"/>
      <c r="K148" s="12"/>
      <c r="L148" s="10"/>
      <c r="M148" s="12"/>
      <c r="N148" s="9" t="str">
        <f aca="false">IF(C148="","",IF(AND(H148="Có",I148="Có"),"1. Làm ngay",IF(H148="Có","2. Lên lịch",IF(I148="Có","3. Giao lại","4. Để sau"))))</f>
        <v/>
      </c>
      <c r="O148" s="9" t="str">
        <f aca="true">IF(OR(C148="",J148="",K148="Hoàn thành"),"",J148-TODAY())</f>
        <v/>
      </c>
      <c r="P148" s="9" t="str">
        <f aca="true">IF(C148="","",IF(K148="Hoàn thành",IF(OR(L148="",J148=""),"Xong (thiếu ngày)",IF(L148&lt;=J148,"Xong đúng hạn","Xong trễ")),IF(J148="","Chưa có hạn",IF(J148&lt;TODAY(),"Quá hạn",IF(J148=TODAY(),"Đến hạn hôm nay",IF(J148-TODAY()&lt;=3,"Sắp đến hạn","Trong hạn"))))))</f>
        <v/>
      </c>
      <c r="Q148" s="9" t="str">
        <f aca="false">IF(OR(C148="",J148=""),"",WEEKNUM(J148,21))</f>
        <v/>
      </c>
      <c r="R148" s="2"/>
      <c r="S148" s="9" t="str">
        <f aca="true">IF(AND(C148&lt;&gt;"",K148&lt;&gt;"Hoàn thành",J148&lt;&gt;"",J148&lt;=TODAY()),MAX(S$5:S147)+1,"")</f>
        <v/>
      </c>
      <c r="T148" s="9" t="str">
        <f aca="false">IF(AND(C148&lt;&gt;"",IF(K148="","Chưa làm",K148)="Chưa làm"),MAX(T$5:T147)+1,"")</f>
        <v/>
      </c>
      <c r="U148" s="9" t="str">
        <f aca="false">IF(AND(C148&lt;&gt;"",IF(K148="","Chưa làm",K148)="Đang làm"),MAX(U$5:U147)+1,"")</f>
        <v/>
      </c>
      <c r="V148" s="9" t="str">
        <f aca="false">IF(AND(C148&lt;&gt;"",IF(K148="","Chưa làm",K148)="Chờ duyệt"),MAX(V$5:V147)+1,"")</f>
        <v/>
      </c>
      <c r="W148" s="9" t="str">
        <f aca="false">IF(AND(C148&lt;&gt;"",IF(K148="","Chưa làm",K148)="Hoàn thành"),MAX(W$5:W147)+1,"")</f>
        <v/>
      </c>
      <c r="X148" s="9" t="str">
        <f aca="false">IF(AND(C148&lt;&gt;"",K148&lt;&gt;"Hoàn thành",N148="1. Làm ngay"),MAX(X$5:X147)+1,"")</f>
        <v/>
      </c>
      <c r="Y148" s="9" t="str">
        <f aca="false">IF(AND(C148&lt;&gt;"",K148&lt;&gt;"Hoàn thành",N148="2. Lên lịch"),MAX(Y$5:Y147)+1,"")</f>
        <v/>
      </c>
      <c r="Z148" s="9" t="str">
        <f aca="false">IF(AND(C148&lt;&gt;"",K148&lt;&gt;"Hoàn thành",N148="3. Giao lại"),MAX(Z$5:Z147)+1,"")</f>
        <v/>
      </c>
      <c r="AA148" s="9" t="str">
        <f aca="false">IF(AND(C148&lt;&gt;"",K148&lt;&gt;"Hoàn thành",N148="4. Để sau"),MAX(AA$5:AA147)+1,"")</f>
        <v/>
      </c>
      <c r="AB148" s="9" t="str">
        <f aca="false">IF(AND(C148&lt;&gt;"",J148&lt;&gt;"",J148&gt;=TUAN!$C$3,J148&lt;=TUAN!$C$3+6),MAX(AB$5:AB147)+1,"")</f>
        <v/>
      </c>
    </row>
    <row r="149" customFormat="false" ht="15" hidden="false" customHeight="false" outlineLevel="0" collapsed="false">
      <c r="A149" s="9" t="str">
        <f aca="false">IF(C149="","","CV"&amp;TEXT(ROW()-5,"000"))</f>
        <v/>
      </c>
      <c r="B149" s="10"/>
      <c r="C149" s="11"/>
      <c r="D149" s="12"/>
      <c r="E149" s="12"/>
      <c r="F149" s="12"/>
      <c r="G149" s="12"/>
      <c r="H149" s="12"/>
      <c r="I149" s="12"/>
      <c r="J149" s="10"/>
      <c r="K149" s="12"/>
      <c r="L149" s="10"/>
      <c r="M149" s="12"/>
      <c r="N149" s="9" t="str">
        <f aca="false">IF(C149="","",IF(AND(H149="Có",I149="Có"),"1. Làm ngay",IF(H149="Có","2. Lên lịch",IF(I149="Có","3. Giao lại","4. Để sau"))))</f>
        <v/>
      </c>
      <c r="O149" s="9" t="str">
        <f aca="true">IF(OR(C149="",J149="",K149="Hoàn thành"),"",J149-TODAY())</f>
        <v/>
      </c>
      <c r="P149" s="9" t="str">
        <f aca="true">IF(C149="","",IF(K149="Hoàn thành",IF(OR(L149="",J149=""),"Xong (thiếu ngày)",IF(L149&lt;=J149,"Xong đúng hạn","Xong trễ")),IF(J149="","Chưa có hạn",IF(J149&lt;TODAY(),"Quá hạn",IF(J149=TODAY(),"Đến hạn hôm nay",IF(J149-TODAY()&lt;=3,"Sắp đến hạn","Trong hạn"))))))</f>
        <v/>
      </c>
      <c r="Q149" s="9" t="str">
        <f aca="false">IF(OR(C149="",J149=""),"",WEEKNUM(J149,21))</f>
        <v/>
      </c>
      <c r="R149" s="2"/>
      <c r="S149" s="9" t="str">
        <f aca="true">IF(AND(C149&lt;&gt;"",K149&lt;&gt;"Hoàn thành",J149&lt;&gt;"",J149&lt;=TODAY()),MAX(S$5:S148)+1,"")</f>
        <v/>
      </c>
      <c r="T149" s="9" t="str">
        <f aca="false">IF(AND(C149&lt;&gt;"",IF(K149="","Chưa làm",K149)="Chưa làm"),MAX(T$5:T148)+1,"")</f>
        <v/>
      </c>
      <c r="U149" s="9" t="str">
        <f aca="false">IF(AND(C149&lt;&gt;"",IF(K149="","Chưa làm",K149)="Đang làm"),MAX(U$5:U148)+1,"")</f>
        <v/>
      </c>
      <c r="V149" s="9" t="str">
        <f aca="false">IF(AND(C149&lt;&gt;"",IF(K149="","Chưa làm",K149)="Chờ duyệt"),MAX(V$5:V148)+1,"")</f>
        <v/>
      </c>
      <c r="W149" s="9" t="str">
        <f aca="false">IF(AND(C149&lt;&gt;"",IF(K149="","Chưa làm",K149)="Hoàn thành"),MAX(W$5:W148)+1,"")</f>
        <v/>
      </c>
      <c r="X149" s="9" t="str">
        <f aca="false">IF(AND(C149&lt;&gt;"",K149&lt;&gt;"Hoàn thành",N149="1. Làm ngay"),MAX(X$5:X148)+1,"")</f>
        <v/>
      </c>
      <c r="Y149" s="9" t="str">
        <f aca="false">IF(AND(C149&lt;&gt;"",K149&lt;&gt;"Hoàn thành",N149="2. Lên lịch"),MAX(Y$5:Y148)+1,"")</f>
        <v/>
      </c>
      <c r="Z149" s="9" t="str">
        <f aca="false">IF(AND(C149&lt;&gt;"",K149&lt;&gt;"Hoàn thành",N149="3. Giao lại"),MAX(Z$5:Z148)+1,"")</f>
        <v/>
      </c>
      <c r="AA149" s="9" t="str">
        <f aca="false">IF(AND(C149&lt;&gt;"",K149&lt;&gt;"Hoàn thành",N149="4. Để sau"),MAX(AA$5:AA148)+1,"")</f>
        <v/>
      </c>
      <c r="AB149" s="9" t="str">
        <f aca="false">IF(AND(C149&lt;&gt;"",J149&lt;&gt;"",J149&gt;=TUAN!$C$3,J149&lt;=TUAN!$C$3+6),MAX(AB$5:AB148)+1,"")</f>
        <v/>
      </c>
    </row>
    <row r="150" customFormat="false" ht="15" hidden="false" customHeight="false" outlineLevel="0" collapsed="false">
      <c r="A150" s="9" t="str">
        <f aca="false">IF(C150="","","CV"&amp;TEXT(ROW()-5,"000"))</f>
        <v/>
      </c>
      <c r="B150" s="10"/>
      <c r="C150" s="11"/>
      <c r="D150" s="12"/>
      <c r="E150" s="12"/>
      <c r="F150" s="12"/>
      <c r="G150" s="12"/>
      <c r="H150" s="12"/>
      <c r="I150" s="12"/>
      <c r="J150" s="10"/>
      <c r="K150" s="12"/>
      <c r="L150" s="10"/>
      <c r="M150" s="12"/>
      <c r="N150" s="9" t="str">
        <f aca="false">IF(C150="","",IF(AND(H150="Có",I150="Có"),"1. Làm ngay",IF(H150="Có","2. Lên lịch",IF(I150="Có","3. Giao lại","4. Để sau"))))</f>
        <v/>
      </c>
      <c r="O150" s="9" t="str">
        <f aca="true">IF(OR(C150="",J150="",K150="Hoàn thành"),"",J150-TODAY())</f>
        <v/>
      </c>
      <c r="P150" s="9" t="str">
        <f aca="true">IF(C150="","",IF(K150="Hoàn thành",IF(OR(L150="",J150=""),"Xong (thiếu ngày)",IF(L150&lt;=J150,"Xong đúng hạn","Xong trễ")),IF(J150="","Chưa có hạn",IF(J150&lt;TODAY(),"Quá hạn",IF(J150=TODAY(),"Đến hạn hôm nay",IF(J150-TODAY()&lt;=3,"Sắp đến hạn","Trong hạn"))))))</f>
        <v/>
      </c>
      <c r="Q150" s="9" t="str">
        <f aca="false">IF(OR(C150="",J150=""),"",WEEKNUM(J150,21))</f>
        <v/>
      </c>
      <c r="R150" s="2"/>
      <c r="S150" s="9" t="str">
        <f aca="true">IF(AND(C150&lt;&gt;"",K150&lt;&gt;"Hoàn thành",J150&lt;&gt;"",J150&lt;=TODAY()),MAX(S$5:S149)+1,"")</f>
        <v/>
      </c>
      <c r="T150" s="9" t="str">
        <f aca="false">IF(AND(C150&lt;&gt;"",IF(K150="","Chưa làm",K150)="Chưa làm"),MAX(T$5:T149)+1,"")</f>
        <v/>
      </c>
      <c r="U150" s="9" t="str">
        <f aca="false">IF(AND(C150&lt;&gt;"",IF(K150="","Chưa làm",K150)="Đang làm"),MAX(U$5:U149)+1,"")</f>
        <v/>
      </c>
      <c r="V150" s="9" t="str">
        <f aca="false">IF(AND(C150&lt;&gt;"",IF(K150="","Chưa làm",K150)="Chờ duyệt"),MAX(V$5:V149)+1,"")</f>
        <v/>
      </c>
      <c r="W150" s="9" t="str">
        <f aca="false">IF(AND(C150&lt;&gt;"",IF(K150="","Chưa làm",K150)="Hoàn thành"),MAX(W$5:W149)+1,"")</f>
        <v/>
      </c>
      <c r="X150" s="9" t="str">
        <f aca="false">IF(AND(C150&lt;&gt;"",K150&lt;&gt;"Hoàn thành",N150="1. Làm ngay"),MAX(X$5:X149)+1,"")</f>
        <v/>
      </c>
      <c r="Y150" s="9" t="str">
        <f aca="false">IF(AND(C150&lt;&gt;"",K150&lt;&gt;"Hoàn thành",N150="2. Lên lịch"),MAX(Y$5:Y149)+1,"")</f>
        <v/>
      </c>
      <c r="Z150" s="9" t="str">
        <f aca="false">IF(AND(C150&lt;&gt;"",K150&lt;&gt;"Hoàn thành",N150="3. Giao lại"),MAX(Z$5:Z149)+1,"")</f>
        <v/>
      </c>
      <c r="AA150" s="9" t="str">
        <f aca="false">IF(AND(C150&lt;&gt;"",K150&lt;&gt;"Hoàn thành",N150="4. Để sau"),MAX(AA$5:AA149)+1,"")</f>
        <v/>
      </c>
      <c r="AB150" s="9" t="str">
        <f aca="false">IF(AND(C150&lt;&gt;"",J150&lt;&gt;"",J150&gt;=TUAN!$C$3,J150&lt;=TUAN!$C$3+6),MAX(AB$5:AB149)+1,"")</f>
        <v/>
      </c>
    </row>
    <row r="151" customFormat="false" ht="15" hidden="false" customHeight="false" outlineLevel="0" collapsed="false">
      <c r="A151" s="9" t="str">
        <f aca="false">IF(C151="","","CV"&amp;TEXT(ROW()-5,"000"))</f>
        <v/>
      </c>
      <c r="B151" s="10"/>
      <c r="C151" s="11"/>
      <c r="D151" s="12"/>
      <c r="E151" s="12"/>
      <c r="F151" s="12"/>
      <c r="G151" s="12"/>
      <c r="H151" s="12"/>
      <c r="I151" s="12"/>
      <c r="J151" s="10"/>
      <c r="K151" s="12"/>
      <c r="L151" s="10"/>
      <c r="M151" s="12"/>
      <c r="N151" s="9" t="str">
        <f aca="false">IF(C151="","",IF(AND(H151="Có",I151="Có"),"1. Làm ngay",IF(H151="Có","2. Lên lịch",IF(I151="Có","3. Giao lại","4. Để sau"))))</f>
        <v/>
      </c>
      <c r="O151" s="9" t="str">
        <f aca="true">IF(OR(C151="",J151="",K151="Hoàn thành"),"",J151-TODAY())</f>
        <v/>
      </c>
      <c r="P151" s="9" t="str">
        <f aca="true">IF(C151="","",IF(K151="Hoàn thành",IF(OR(L151="",J151=""),"Xong (thiếu ngày)",IF(L151&lt;=J151,"Xong đúng hạn","Xong trễ")),IF(J151="","Chưa có hạn",IF(J151&lt;TODAY(),"Quá hạn",IF(J151=TODAY(),"Đến hạn hôm nay",IF(J151-TODAY()&lt;=3,"Sắp đến hạn","Trong hạn"))))))</f>
        <v/>
      </c>
      <c r="Q151" s="9" t="str">
        <f aca="false">IF(OR(C151="",J151=""),"",WEEKNUM(J151,21))</f>
        <v/>
      </c>
      <c r="R151" s="2"/>
      <c r="S151" s="9" t="str">
        <f aca="true">IF(AND(C151&lt;&gt;"",K151&lt;&gt;"Hoàn thành",J151&lt;&gt;"",J151&lt;=TODAY()),MAX(S$5:S150)+1,"")</f>
        <v/>
      </c>
      <c r="T151" s="9" t="str">
        <f aca="false">IF(AND(C151&lt;&gt;"",IF(K151="","Chưa làm",K151)="Chưa làm"),MAX(T$5:T150)+1,"")</f>
        <v/>
      </c>
      <c r="U151" s="9" t="str">
        <f aca="false">IF(AND(C151&lt;&gt;"",IF(K151="","Chưa làm",K151)="Đang làm"),MAX(U$5:U150)+1,"")</f>
        <v/>
      </c>
      <c r="V151" s="9" t="str">
        <f aca="false">IF(AND(C151&lt;&gt;"",IF(K151="","Chưa làm",K151)="Chờ duyệt"),MAX(V$5:V150)+1,"")</f>
        <v/>
      </c>
      <c r="W151" s="9" t="str">
        <f aca="false">IF(AND(C151&lt;&gt;"",IF(K151="","Chưa làm",K151)="Hoàn thành"),MAX(W$5:W150)+1,"")</f>
        <v/>
      </c>
      <c r="X151" s="9" t="str">
        <f aca="false">IF(AND(C151&lt;&gt;"",K151&lt;&gt;"Hoàn thành",N151="1. Làm ngay"),MAX(X$5:X150)+1,"")</f>
        <v/>
      </c>
      <c r="Y151" s="9" t="str">
        <f aca="false">IF(AND(C151&lt;&gt;"",K151&lt;&gt;"Hoàn thành",N151="2. Lên lịch"),MAX(Y$5:Y150)+1,"")</f>
        <v/>
      </c>
      <c r="Z151" s="9" t="str">
        <f aca="false">IF(AND(C151&lt;&gt;"",K151&lt;&gt;"Hoàn thành",N151="3. Giao lại"),MAX(Z$5:Z150)+1,"")</f>
        <v/>
      </c>
      <c r="AA151" s="9" t="str">
        <f aca="false">IF(AND(C151&lt;&gt;"",K151&lt;&gt;"Hoàn thành",N151="4. Để sau"),MAX(AA$5:AA150)+1,"")</f>
        <v/>
      </c>
      <c r="AB151" s="9" t="str">
        <f aca="false">IF(AND(C151&lt;&gt;"",J151&lt;&gt;"",J151&gt;=TUAN!$C$3,J151&lt;=TUAN!$C$3+6),MAX(AB$5:AB150)+1,"")</f>
        <v/>
      </c>
    </row>
    <row r="152" customFormat="false" ht="15" hidden="false" customHeight="false" outlineLevel="0" collapsed="false">
      <c r="A152" s="9" t="str">
        <f aca="false">IF(C152="","","CV"&amp;TEXT(ROW()-5,"000"))</f>
        <v/>
      </c>
      <c r="B152" s="10"/>
      <c r="C152" s="11"/>
      <c r="D152" s="12"/>
      <c r="E152" s="12"/>
      <c r="F152" s="12"/>
      <c r="G152" s="12"/>
      <c r="H152" s="12"/>
      <c r="I152" s="12"/>
      <c r="J152" s="10"/>
      <c r="K152" s="12"/>
      <c r="L152" s="10"/>
      <c r="M152" s="12"/>
      <c r="N152" s="9" t="str">
        <f aca="false">IF(C152="","",IF(AND(H152="Có",I152="Có"),"1. Làm ngay",IF(H152="Có","2. Lên lịch",IF(I152="Có","3. Giao lại","4. Để sau"))))</f>
        <v/>
      </c>
      <c r="O152" s="9" t="str">
        <f aca="true">IF(OR(C152="",J152="",K152="Hoàn thành"),"",J152-TODAY())</f>
        <v/>
      </c>
      <c r="P152" s="9" t="str">
        <f aca="true">IF(C152="","",IF(K152="Hoàn thành",IF(OR(L152="",J152=""),"Xong (thiếu ngày)",IF(L152&lt;=J152,"Xong đúng hạn","Xong trễ")),IF(J152="","Chưa có hạn",IF(J152&lt;TODAY(),"Quá hạn",IF(J152=TODAY(),"Đến hạn hôm nay",IF(J152-TODAY()&lt;=3,"Sắp đến hạn","Trong hạn"))))))</f>
        <v/>
      </c>
      <c r="Q152" s="9" t="str">
        <f aca="false">IF(OR(C152="",J152=""),"",WEEKNUM(J152,21))</f>
        <v/>
      </c>
      <c r="R152" s="2"/>
      <c r="S152" s="9" t="str">
        <f aca="true">IF(AND(C152&lt;&gt;"",K152&lt;&gt;"Hoàn thành",J152&lt;&gt;"",J152&lt;=TODAY()),MAX(S$5:S151)+1,"")</f>
        <v/>
      </c>
      <c r="T152" s="9" t="str">
        <f aca="false">IF(AND(C152&lt;&gt;"",IF(K152="","Chưa làm",K152)="Chưa làm"),MAX(T$5:T151)+1,"")</f>
        <v/>
      </c>
      <c r="U152" s="9" t="str">
        <f aca="false">IF(AND(C152&lt;&gt;"",IF(K152="","Chưa làm",K152)="Đang làm"),MAX(U$5:U151)+1,"")</f>
        <v/>
      </c>
      <c r="V152" s="9" t="str">
        <f aca="false">IF(AND(C152&lt;&gt;"",IF(K152="","Chưa làm",K152)="Chờ duyệt"),MAX(V$5:V151)+1,"")</f>
        <v/>
      </c>
      <c r="W152" s="9" t="str">
        <f aca="false">IF(AND(C152&lt;&gt;"",IF(K152="","Chưa làm",K152)="Hoàn thành"),MAX(W$5:W151)+1,"")</f>
        <v/>
      </c>
      <c r="X152" s="9" t="str">
        <f aca="false">IF(AND(C152&lt;&gt;"",K152&lt;&gt;"Hoàn thành",N152="1. Làm ngay"),MAX(X$5:X151)+1,"")</f>
        <v/>
      </c>
      <c r="Y152" s="9" t="str">
        <f aca="false">IF(AND(C152&lt;&gt;"",K152&lt;&gt;"Hoàn thành",N152="2. Lên lịch"),MAX(Y$5:Y151)+1,"")</f>
        <v/>
      </c>
      <c r="Z152" s="9" t="str">
        <f aca="false">IF(AND(C152&lt;&gt;"",K152&lt;&gt;"Hoàn thành",N152="3. Giao lại"),MAX(Z$5:Z151)+1,"")</f>
        <v/>
      </c>
      <c r="AA152" s="9" t="str">
        <f aca="false">IF(AND(C152&lt;&gt;"",K152&lt;&gt;"Hoàn thành",N152="4. Để sau"),MAX(AA$5:AA151)+1,"")</f>
        <v/>
      </c>
      <c r="AB152" s="9" t="str">
        <f aca="false">IF(AND(C152&lt;&gt;"",J152&lt;&gt;"",J152&gt;=TUAN!$C$3,J152&lt;=TUAN!$C$3+6),MAX(AB$5:AB151)+1,"")</f>
        <v/>
      </c>
    </row>
    <row r="153" customFormat="false" ht="15" hidden="false" customHeight="false" outlineLevel="0" collapsed="false">
      <c r="A153" s="9" t="str">
        <f aca="false">IF(C153="","","CV"&amp;TEXT(ROW()-5,"000"))</f>
        <v/>
      </c>
      <c r="B153" s="10"/>
      <c r="C153" s="11"/>
      <c r="D153" s="12"/>
      <c r="E153" s="12"/>
      <c r="F153" s="12"/>
      <c r="G153" s="12"/>
      <c r="H153" s="12"/>
      <c r="I153" s="12"/>
      <c r="J153" s="10"/>
      <c r="K153" s="12"/>
      <c r="L153" s="10"/>
      <c r="M153" s="12"/>
      <c r="N153" s="9" t="str">
        <f aca="false">IF(C153="","",IF(AND(H153="Có",I153="Có"),"1. Làm ngay",IF(H153="Có","2. Lên lịch",IF(I153="Có","3. Giao lại","4. Để sau"))))</f>
        <v/>
      </c>
      <c r="O153" s="9" t="str">
        <f aca="true">IF(OR(C153="",J153="",K153="Hoàn thành"),"",J153-TODAY())</f>
        <v/>
      </c>
      <c r="P153" s="9" t="str">
        <f aca="true">IF(C153="","",IF(K153="Hoàn thành",IF(OR(L153="",J153=""),"Xong (thiếu ngày)",IF(L153&lt;=J153,"Xong đúng hạn","Xong trễ")),IF(J153="","Chưa có hạn",IF(J153&lt;TODAY(),"Quá hạn",IF(J153=TODAY(),"Đến hạn hôm nay",IF(J153-TODAY()&lt;=3,"Sắp đến hạn","Trong hạn"))))))</f>
        <v/>
      </c>
      <c r="Q153" s="9" t="str">
        <f aca="false">IF(OR(C153="",J153=""),"",WEEKNUM(J153,21))</f>
        <v/>
      </c>
      <c r="R153" s="2"/>
      <c r="S153" s="9" t="str">
        <f aca="true">IF(AND(C153&lt;&gt;"",K153&lt;&gt;"Hoàn thành",J153&lt;&gt;"",J153&lt;=TODAY()),MAX(S$5:S152)+1,"")</f>
        <v/>
      </c>
      <c r="T153" s="9" t="str">
        <f aca="false">IF(AND(C153&lt;&gt;"",IF(K153="","Chưa làm",K153)="Chưa làm"),MAX(T$5:T152)+1,"")</f>
        <v/>
      </c>
      <c r="U153" s="9" t="str">
        <f aca="false">IF(AND(C153&lt;&gt;"",IF(K153="","Chưa làm",K153)="Đang làm"),MAX(U$5:U152)+1,"")</f>
        <v/>
      </c>
      <c r="V153" s="9" t="str">
        <f aca="false">IF(AND(C153&lt;&gt;"",IF(K153="","Chưa làm",K153)="Chờ duyệt"),MAX(V$5:V152)+1,"")</f>
        <v/>
      </c>
      <c r="W153" s="9" t="str">
        <f aca="false">IF(AND(C153&lt;&gt;"",IF(K153="","Chưa làm",K153)="Hoàn thành"),MAX(W$5:W152)+1,"")</f>
        <v/>
      </c>
      <c r="X153" s="9" t="str">
        <f aca="false">IF(AND(C153&lt;&gt;"",K153&lt;&gt;"Hoàn thành",N153="1. Làm ngay"),MAX(X$5:X152)+1,"")</f>
        <v/>
      </c>
      <c r="Y153" s="9" t="str">
        <f aca="false">IF(AND(C153&lt;&gt;"",K153&lt;&gt;"Hoàn thành",N153="2. Lên lịch"),MAX(Y$5:Y152)+1,"")</f>
        <v/>
      </c>
      <c r="Z153" s="9" t="str">
        <f aca="false">IF(AND(C153&lt;&gt;"",K153&lt;&gt;"Hoàn thành",N153="3. Giao lại"),MAX(Z$5:Z152)+1,"")</f>
        <v/>
      </c>
      <c r="AA153" s="9" t="str">
        <f aca="false">IF(AND(C153&lt;&gt;"",K153&lt;&gt;"Hoàn thành",N153="4. Để sau"),MAX(AA$5:AA152)+1,"")</f>
        <v/>
      </c>
      <c r="AB153" s="9" t="str">
        <f aca="false">IF(AND(C153&lt;&gt;"",J153&lt;&gt;"",J153&gt;=TUAN!$C$3,J153&lt;=TUAN!$C$3+6),MAX(AB$5:AB152)+1,"")</f>
        <v/>
      </c>
    </row>
    <row r="154" customFormat="false" ht="15" hidden="false" customHeight="false" outlineLevel="0" collapsed="false">
      <c r="A154" s="9" t="str">
        <f aca="false">IF(C154="","","CV"&amp;TEXT(ROW()-5,"000"))</f>
        <v/>
      </c>
      <c r="B154" s="10"/>
      <c r="C154" s="11"/>
      <c r="D154" s="12"/>
      <c r="E154" s="12"/>
      <c r="F154" s="12"/>
      <c r="G154" s="12"/>
      <c r="H154" s="12"/>
      <c r="I154" s="12"/>
      <c r="J154" s="10"/>
      <c r="K154" s="12"/>
      <c r="L154" s="10"/>
      <c r="M154" s="12"/>
      <c r="N154" s="9" t="str">
        <f aca="false">IF(C154="","",IF(AND(H154="Có",I154="Có"),"1. Làm ngay",IF(H154="Có","2. Lên lịch",IF(I154="Có","3. Giao lại","4. Để sau"))))</f>
        <v/>
      </c>
      <c r="O154" s="9" t="str">
        <f aca="true">IF(OR(C154="",J154="",K154="Hoàn thành"),"",J154-TODAY())</f>
        <v/>
      </c>
      <c r="P154" s="9" t="str">
        <f aca="true">IF(C154="","",IF(K154="Hoàn thành",IF(OR(L154="",J154=""),"Xong (thiếu ngày)",IF(L154&lt;=J154,"Xong đúng hạn","Xong trễ")),IF(J154="","Chưa có hạn",IF(J154&lt;TODAY(),"Quá hạn",IF(J154=TODAY(),"Đến hạn hôm nay",IF(J154-TODAY()&lt;=3,"Sắp đến hạn","Trong hạn"))))))</f>
        <v/>
      </c>
      <c r="Q154" s="9" t="str">
        <f aca="false">IF(OR(C154="",J154=""),"",WEEKNUM(J154,21))</f>
        <v/>
      </c>
      <c r="R154" s="2"/>
      <c r="S154" s="9" t="str">
        <f aca="true">IF(AND(C154&lt;&gt;"",K154&lt;&gt;"Hoàn thành",J154&lt;&gt;"",J154&lt;=TODAY()),MAX(S$5:S153)+1,"")</f>
        <v/>
      </c>
      <c r="T154" s="9" t="str">
        <f aca="false">IF(AND(C154&lt;&gt;"",IF(K154="","Chưa làm",K154)="Chưa làm"),MAX(T$5:T153)+1,"")</f>
        <v/>
      </c>
      <c r="U154" s="9" t="str">
        <f aca="false">IF(AND(C154&lt;&gt;"",IF(K154="","Chưa làm",K154)="Đang làm"),MAX(U$5:U153)+1,"")</f>
        <v/>
      </c>
      <c r="V154" s="9" t="str">
        <f aca="false">IF(AND(C154&lt;&gt;"",IF(K154="","Chưa làm",K154)="Chờ duyệt"),MAX(V$5:V153)+1,"")</f>
        <v/>
      </c>
      <c r="W154" s="9" t="str">
        <f aca="false">IF(AND(C154&lt;&gt;"",IF(K154="","Chưa làm",K154)="Hoàn thành"),MAX(W$5:W153)+1,"")</f>
        <v/>
      </c>
      <c r="X154" s="9" t="str">
        <f aca="false">IF(AND(C154&lt;&gt;"",K154&lt;&gt;"Hoàn thành",N154="1. Làm ngay"),MAX(X$5:X153)+1,"")</f>
        <v/>
      </c>
      <c r="Y154" s="9" t="str">
        <f aca="false">IF(AND(C154&lt;&gt;"",K154&lt;&gt;"Hoàn thành",N154="2. Lên lịch"),MAX(Y$5:Y153)+1,"")</f>
        <v/>
      </c>
      <c r="Z154" s="9" t="str">
        <f aca="false">IF(AND(C154&lt;&gt;"",K154&lt;&gt;"Hoàn thành",N154="3. Giao lại"),MAX(Z$5:Z153)+1,"")</f>
        <v/>
      </c>
      <c r="AA154" s="9" t="str">
        <f aca="false">IF(AND(C154&lt;&gt;"",K154&lt;&gt;"Hoàn thành",N154="4. Để sau"),MAX(AA$5:AA153)+1,"")</f>
        <v/>
      </c>
      <c r="AB154" s="9" t="str">
        <f aca="false">IF(AND(C154&lt;&gt;"",J154&lt;&gt;"",J154&gt;=TUAN!$C$3,J154&lt;=TUAN!$C$3+6),MAX(AB$5:AB153)+1,"")</f>
        <v/>
      </c>
    </row>
    <row r="155" customFormat="false" ht="15" hidden="false" customHeight="false" outlineLevel="0" collapsed="false">
      <c r="A155" s="9" t="str">
        <f aca="false">IF(C155="","","CV"&amp;TEXT(ROW()-5,"000"))</f>
        <v/>
      </c>
      <c r="B155" s="10"/>
      <c r="C155" s="11"/>
      <c r="D155" s="12"/>
      <c r="E155" s="12"/>
      <c r="F155" s="12"/>
      <c r="G155" s="12"/>
      <c r="H155" s="12"/>
      <c r="I155" s="12"/>
      <c r="J155" s="10"/>
      <c r="K155" s="12"/>
      <c r="L155" s="10"/>
      <c r="M155" s="12"/>
      <c r="N155" s="9" t="str">
        <f aca="false">IF(C155="","",IF(AND(H155="Có",I155="Có"),"1. Làm ngay",IF(H155="Có","2. Lên lịch",IF(I155="Có","3. Giao lại","4. Để sau"))))</f>
        <v/>
      </c>
      <c r="O155" s="9" t="str">
        <f aca="true">IF(OR(C155="",J155="",K155="Hoàn thành"),"",J155-TODAY())</f>
        <v/>
      </c>
      <c r="P155" s="9" t="str">
        <f aca="true">IF(C155="","",IF(K155="Hoàn thành",IF(OR(L155="",J155=""),"Xong (thiếu ngày)",IF(L155&lt;=J155,"Xong đúng hạn","Xong trễ")),IF(J155="","Chưa có hạn",IF(J155&lt;TODAY(),"Quá hạn",IF(J155=TODAY(),"Đến hạn hôm nay",IF(J155-TODAY()&lt;=3,"Sắp đến hạn","Trong hạn"))))))</f>
        <v/>
      </c>
      <c r="Q155" s="9" t="str">
        <f aca="false">IF(OR(C155="",J155=""),"",WEEKNUM(J155,21))</f>
        <v/>
      </c>
      <c r="R155" s="2"/>
      <c r="S155" s="9" t="str">
        <f aca="true">IF(AND(C155&lt;&gt;"",K155&lt;&gt;"Hoàn thành",J155&lt;&gt;"",J155&lt;=TODAY()),MAX(S$5:S154)+1,"")</f>
        <v/>
      </c>
      <c r="T155" s="9" t="str">
        <f aca="false">IF(AND(C155&lt;&gt;"",IF(K155="","Chưa làm",K155)="Chưa làm"),MAX(T$5:T154)+1,"")</f>
        <v/>
      </c>
      <c r="U155" s="9" t="str">
        <f aca="false">IF(AND(C155&lt;&gt;"",IF(K155="","Chưa làm",K155)="Đang làm"),MAX(U$5:U154)+1,"")</f>
        <v/>
      </c>
      <c r="V155" s="9" t="str">
        <f aca="false">IF(AND(C155&lt;&gt;"",IF(K155="","Chưa làm",K155)="Chờ duyệt"),MAX(V$5:V154)+1,"")</f>
        <v/>
      </c>
      <c r="W155" s="9" t="str">
        <f aca="false">IF(AND(C155&lt;&gt;"",IF(K155="","Chưa làm",K155)="Hoàn thành"),MAX(W$5:W154)+1,"")</f>
        <v/>
      </c>
      <c r="X155" s="9" t="str">
        <f aca="false">IF(AND(C155&lt;&gt;"",K155&lt;&gt;"Hoàn thành",N155="1. Làm ngay"),MAX(X$5:X154)+1,"")</f>
        <v/>
      </c>
      <c r="Y155" s="9" t="str">
        <f aca="false">IF(AND(C155&lt;&gt;"",K155&lt;&gt;"Hoàn thành",N155="2. Lên lịch"),MAX(Y$5:Y154)+1,"")</f>
        <v/>
      </c>
      <c r="Z155" s="9" t="str">
        <f aca="false">IF(AND(C155&lt;&gt;"",K155&lt;&gt;"Hoàn thành",N155="3. Giao lại"),MAX(Z$5:Z154)+1,"")</f>
        <v/>
      </c>
      <c r="AA155" s="9" t="str">
        <f aca="false">IF(AND(C155&lt;&gt;"",K155&lt;&gt;"Hoàn thành",N155="4. Để sau"),MAX(AA$5:AA154)+1,"")</f>
        <v/>
      </c>
      <c r="AB155" s="9" t="str">
        <f aca="false">IF(AND(C155&lt;&gt;"",J155&lt;&gt;"",J155&gt;=TUAN!$C$3,J155&lt;=TUAN!$C$3+6),MAX(AB$5:AB154)+1,"")</f>
        <v/>
      </c>
    </row>
    <row r="156" customFormat="false" ht="15" hidden="false" customHeight="false" outlineLevel="0" collapsed="false">
      <c r="A156" s="9" t="str">
        <f aca="false">IF(C156="","","CV"&amp;TEXT(ROW()-5,"000"))</f>
        <v/>
      </c>
      <c r="B156" s="10"/>
      <c r="C156" s="11"/>
      <c r="D156" s="12"/>
      <c r="E156" s="12"/>
      <c r="F156" s="12"/>
      <c r="G156" s="12"/>
      <c r="H156" s="12"/>
      <c r="I156" s="12"/>
      <c r="J156" s="10"/>
      <c r="K156" s="12"/>
      <c r="L156" s="10"/>
      <c r="M156" s="12"/>
      <c r="N156" s="9" t="str">
        <f aca="false">IF(C156="","",IF(AND(H156="Có",I156="Có"),"1. Làm ngay",IF(H156="Có","2. Lên lịch",IF(I156="Có","3. Giao lại","4. Để sau"))))</f>
        <v/>
      </c>
      <c r="O156" s="9" t="str">
        <f aca="true">IF(OR(C156="",J156="",K156="Hoàn thành"),"",J156-TODAY())</f>
        <v/>
      </c>
      <c r="P156" s="9" t="str">
        <f aca="true">IF(C156="","",IF(K156="Hoàn thành",IF(OR(L156="",J156=""),"Xong (thiếu ngày)",IF(L156&lt;=J156,"Xong đúng hạn","Xong trễ")),IF(J156="","Chưa có hạn",IF(J156&lt;TODAY(),"Quá hạn",IF(J156=TODAY(),"Đến hạn hôm nay",IF(J156-TODAY()&lt;=3,"Sắp đến hạn","Trong hạn"))))))</f>
        <v/>
      </c>
      <c r="Q156" s="9" t="str">
        <f aca="false">IF(OR(C156="",J156=""),"",WEEKNUM(J156,21))</f>
        <v/>
      </c>
      <c r="R156" s="2"/>
      <c r="S156" s="9" t="str">
        <f aca="true">IF(AND(C156&lt;&gt;"",K156&lt;&gt;"Hoàn thành",J156&lt;&gt;"",J156&lt;=TODAY()),MAX(S$5:S155)+1,"")</f>
        <v/>
      </c>
      <c r="T156" s="9" t="str">
        <f aca="false">IF(AND(C156&lt;&gt;"",IF(K156="","Chưa làm",K156)="Chưa làm"),MAX(T$5:T155)+1,"")</f>
        <v/>
      </c>
      <c r="U156" s="9" t="str">
        <f aca="false">IF(AND(C156&lt;&gt;"",IF(K156="","Chưa làm",K156)="Đang làm"),MAX(U$5:U155)+1,"")</f>
        <v/>
      </c>
      <c r="V156" s="9" t="str">
        <f aca="false">IF(AND(C156&lt;&gt;"",IF(K156="","Chưa làm",K156)="Chờ duyệt"),MAX(V$5:V155)+1,"")</f>
        <v/>
      </c>
      <c r="W156" s="9" t="str">
        <f aca="false">IF(AND(C156&lt;&gt;"",IF(K156="","Chưa làm",K156)="Hoàn thành"),MAX(W$5:W155)+1,"")</f>
        <v/>
      </c>
      <c r="X156" s="9" t="str">
        <f aca="false">IF(AND(C156&lt;&gt;"",K156&lt;&gt;"Hoàn thành",N156="1. Làm ngay"),MAX(X$5:X155)+1,"")</f>
        <v/>
      </c>
      <c r="Y156" s="9" t="str">
        <f aca="false">IF(AND(C156&lt;&gt;"",K156&lt;&gt;"Hoàn thành",N156="2. Lên lịch"),MAX(Y$5:Y155)+1,"")</f>
        <v/>
      </c>
      <c r="Z156" s="9" t="str">
        <f aca="false">IF(AND(C156&lt;&gt;"",K156&lt;&gt;"Hoàn thành",N156="3. Giao lại"),MAX(Z$5:Z155)+1,"")</f>
        <v/>
      </c>
      <c r="AA156" s="9" t="str">
        <f aca="false">IF(AND(C156&lt;&gt;"",K156&lt;&gt;"Hoàn thành",N156="4. Để sau"),MAX(AA$5:AA155)+1,"")</f>
        <v/>
      </c>
      <c r="AB156" s="9" t="str">
        <f aca="false">IF(AND(C156&lt;&gt;"",J156&lt;&gt;"",J156&gt;=TUAN!$C$3,J156&lt;=TUAN!$C$3+6),MAX(AB$5:AB155)+1,"")</f>
        <v/>
      </c>
    </row>
    <row r="157" customFormat="false" ht="15" hidden="false" customHeight="false" outlineLevel="0" collapsed="false">
      <c r="A157" s="9" t="str">
        <f aca="false">IF(C157="","","CV"&amp;TEXT(ROW()-5,"000"))</f>
        <v/>
      </c>
      <c r="B157" s="10"/>
      <c r="C157" s="11"/>
      <c r="D157" s="12"/>
      <c r="E157" s="12"/>
      <c r="F157" s="12"/>
      <c r="G157" s="12"/>
      <c r="H157" s="12"/>
      <c r="I157" s="12"/>
      <c r="J157" s="10"/>
      <c r="K157" s="12"/>
      <c r="L157" s="10"/>
      <c r="M157" s="12"/>
      <c r="N157" s="9" t="str">
        <f aca="false">IF(C157="","",IF(AND(H157="Có",I157="Có"),"1. Làm ngay",IF(H157="Có","2. Lên lịch",IF(I157="Có","3. Giao lại","4. Để sau"))))</f>
        <v/>
      </c>
      <c r="O157" s="9" t="str">
        <f aca="true">IF(OR(C157="",J157="",K157="Hoàn thành"),"",J157-TODAY())</f>
        <v/>
      </c>
      <c r="P157" s="9" t="str">
        <f aca="true">IF(C157="","",IF(K157="Hoàn thành",IF(OR(L157="",J157=""),"Xong (thiếu ngày)",IF(L157&lt;=J157,"Xong đúng hạn","Xong trễ")),IF(J157="","Chưa có hạn",IF(J157&lt;TODAY(),"Quá hạn",IF(J157=TODAY(),"Đến hạn hôm nay",IF(J157-TODAY()&lt;=3,"Sắp đến hạn","Trong hạn"))))))</f>
        <v/>
      </c>
      <c r="Q157" s="9" t="str">
        <f aca="false">IF(OR(C157="",J157=""),"",WEEKNUM(J157,21))</f>
        <v/>
      </c>
      <c r="R157" s="2"/>
      <c r="S157" s="9" t="str">
        <f aca="true">IF(AND(C157&lt;&gt;"",K157&lt;&gt;"Hoàn thành",J157&lt;&gt;"",J157&lt;=TODAY()),MAX(S$5:S156)+1,"")</f>
        <v/>
      </c>
      <c r="T157" s="9" t="str">
        <f aca="false">IF(AND(C157&lt;&gt;"",IF(K157="","Chưa làm",K157)="Chưa làm"),MAX(T$5:T156)+1,"")</f>
        <v/>
      </c>
      <c r="U157" s="9" t="str">
        <f aca="false">IF(AND(C157&lt;&gt;"",IF(K157="","Chưa làm",K157)="Đang làm"),MAX(U$5:U156)+1,"")</f>
        <v/>
      </c>
      <c r="V157" s="9" t="str">
        <f aca="false">IF(AND(C157&lt;&gt;"",IF(K157="","Chưa làm",K157)="Chờ duyệt"),MAX(V$5:V156)+1,"")</f>
        <v/>
      </c>
      <c r="W157" s="9" t="str">
        <f aca="false">IF(AND(C157&lt;&gt;"",IF(K157="","Chưa làm",K157)="Hoàn thành"),MAX(W$5:W156)+1,"")</f>
        <v/>
      </c>
      <c r="X157" s="9" t="str">
        <f aca="false">IF(AND(C157&lt;&gt;"",K157&lt;&gt;"Hoàn thành",N157="1. Làm ngay"),MAX(X$5:X156)+1,"")</f>
        <v/>
      </c>
      <c r="Y157" s="9" t="str">
        <f aca="false">IF(AND(C157&lt;&gt;"",K157&lt;&gt;"Hoàn thành",N157="2. Lên lịch"),MAX(Y$5:Y156)+1,"")</f>
        <v/>
      </c>
      <c r="Z157" s="9" t="str">
        <f aca="false">IF(AND(C157&lt;&gt;"",K157&lt;&gt;"Hoàn thành",N157="3. Giao lại"),MAX(Z$5:Z156)+1,"")</f>
        <v/>
      </c>
      <c r="AA157" s="9" t="str">
        <f aca="false">IF(AND(C157&lt;&gt;"",K157&lt;&gt;"Hoàn thành",N157="4. Để sau"),MAX(AA$5:AA156)+1,"")</f>
        <v/>
      </c>
      <c r="AB157" s="9" t="str">
        <f aca="false">IF(AND(C157&lt;&gt;"",J157&lt;&gt;"",J157&gt;=TUAN!$C$3,J157&lt;=TUAN!$C$3+6),MAX(AB$5:AB156)+1,"")</f>
        <v/>
      </c>
    </row>
    <row r="158" customFormat="false" ht="15" hidden="false" customHeight="false" outlineLevel="0" collapsed="false">
      <c r="A158" s="9" t="str">
        <f aca="false">IF(C158="","","CV"&amp;TEXT(ROW()-5,"000"))</f>
        <v/>
      </c>
      <c r="B158" s="10"/>
      <c r="C158" s="11"/>
      <c r="D158" s="12"/>
      <c r="E158" s="12"/>
      <c r="F158" s="12"/>
      <c r="G158" s="12"/>
      <c r="H158" s="12"/>
      <c r="I158" s="12"/>
      <c r="J158" s="10"/>
      <c r="K158" s="12"/>
      <c r="L158" s="10"/>
      <c r="M158" s="12"/>
      <c r="N158" s="9" t="str">
        <f aca="false">IF(C158="","",IF(AND(H158="Có",I158="Có"),"1. Làm ngay",IF(H158="Có","2. Lên lịch",IF(I158="Có","3. Giao lại","4. Để sau"))))</f>
        <v/>
      </c>
      <c r="O158" s="9" t="str">
        <f aca="true">IF(OR(C158="",J158="",K158="Hoàn thành"),"",J158-TODAY())</f>
        <v/>
      </c>
      <c r="P158" s="9" t="str">
        <f aca="true">IF(C158="","",IF(K158="Hoàn thành",IF(OR(L158="",J158=""),"Xong (thiếu ngày)",IF(L158&lt;=J158,"Xong đúng hạn","Xong trễ")),IF(J158="","Chưa có hạn",IF(J158&lt;TODAY(),"Quá hạn",IF(J158=TODAY(),"Đến hạn hôm nay",IF(J158-TODAY()&lt;=3,"Sắp đến hạn","Trong hạn"))))))</f>
        <v/>
      </c>
      <c r="Q158" s="9" t="str">
        <f aca="false">IF(OR(C158="",J158=""),"",WEEKNUM(J158,21))</f>
        <v/>
      </c>
      <c r="R158" s="2"/>
      <c r="S158" s="9" t="str">
        <f aca="true">IF(AND(C158&lt;&gt;"",K158&lt;&gt;"Hoàn thành",J158&lt;&gt;"",J158&lt;=TODAY()),MAX(S$5:S157)+1,"")</f>
        <v/>
      </c>
      <c r="T158" s="9" t="str">
        <f aca="false">IF(AND(C158&lt;&gt;"",IF(K158="","Chưa làm",K158)="Chưa làm"),MAX(T$5:T157)+1,"")</f>
        <v/>
      </c>
      <c r="U158" s="9" t="str">
        <f aca="false">IF(AND(C158&lt;&gt;"",IF(K158="","Chưa làm",K158)="Đang làm"),MAX(U$5:U157)+1,"")</f>
        <v/>
      </c>
      <c r="V158" s="9" t="str">
        <f aca="false">IF(AND(C158&lt;&gt;"",IF(K158="","Chưa làm",K158)="Chờ duyệt"),MAX(V$5:V157)+1,"")</f>
        <v/>
      </c>
      <c r="W158" s="9" t="str">
        <f aca="false">IF(AND(C158&lt;&gt;"",IF(K158="","Chưa làm",K158)="Hoàn thành"),MAX(W$5:W157)+1,"")</f>
        <v/>
      </c>
      <c r="X158" s="9" t="str">
        <f aca="false">IF(AND(C158&lt;&gt;"",K158&lt;&gt;"Hoàn thành",N158="1. Làm ngay"),MAX(X$5:X157)+1,"")</f>
        <v/>
      </c>
      <c r="Y158" s="9" t="str">
        <f aca="false">IF(AND(C158&lt;&gt;"",K158&lt;&gt;"Hoàn thành",N158="2. Lên lịch"),MAX(Y$5:Y157)+1,"")</f>
        <v/>
      </c>
      <c r="Z158" s="9" t="str">
        <f aca="false">IF(AND(C158&lt;&gt;"",K158&lt;&gt;"Hoàn thành",N158="3. Giao lại"),MAX(Z$5:Z157)+1,"")</f>
        <v/>
      </c>
      <c r="AA158" s="9" t="str">
        <f aca="false">IF(AND(C158&lt;&gt;"",K158&lt;&gt;"Hoàn thành",N158="4. Để sau"),MAX(AA$5:AA157)+1,"")</f>
        <v/>
      </c>
      <c r="AB158" s="9" t="str">
        <f aca="false">IF(AND(C158&lt;&gt;"",J158&lt;&gt;"",J158&gt;=TUAN!$C$3,J158&lt;=TUAN!$C$3+6),MAX(AB$5:AB157)+1,"")</f>
        <v/>
      </c>
    </row>
    <row r="159" customFormat="false" ht="15" hidden="false" customHeight="false" outlineLevel="0" collapsed="false">
      <c r="A159" s="9" t="str">
        <f aca="false">IF(C159="","","CV"&amp;TEXT(ROW()-5,"000"))</f>
        <v/>
      </c>
      <c r="B159" s="10"/>
      <c r="C159" s="11"/>
      <c r="D159" s="12"/>
      <c r="E159" s="12"/>
      <c r="F159" s="12"/>
      <c r="G159" s="12"/>
      <c r="H159" s="12"/>
      <c r="I159" s="12"/>
      <c r="J159" s="10"/>
      <c r="K159" s="12"/>
      <c r="L159" s="10"/>
      <c r="M159" s="12"/>
      <c r="N159" s="9" t="str">
        <f aca="false">IF(C159="","",IF(AND(H159="Có",I159="Có"),"1. Làm ngay",IF(H159="Có","2. Lên lịch",IF(I159="Có","3. Giao lại","4. Để sau"))))</f>
        <v/>
      </c>
      <c r="O159" s="9" t="str">
        <f aca="true">IF(OR(C159="",J159="",K159="Hoàn thành"),"",J159-TODAY())</f>
        <v/>
      </c>
      <c r="P159" s="9" t="str">
        <f aca="true">IF(C159="","",IF(K159="Hoàn thành",IF(OR(L159="",J159=""),"Xong (thiếu ngày)",IF(L159&lt;=J159,"Xong đúng hạn","Xong trễ")),IF(J159="","Chưa có hạn",IF(J159&lt;TODAY(),"Quá hạn",IF(J159=TODAY(),"Đến hạn hôm nay",IF(J159-TODAY()&lt;=3,"Sắp đến hạn","Trong hạn"))))))</f>
        <v/>
      </c>
      <c r="Q159" s="9" t="str">
        <f aca="false">IF(OR(C159="",J159=""),"",WEEKNUM(J159,21))</f>
        <v/>
      </c>
      <c r="R159" s="2"/>
      <c r="S159" s="9" t="str">
        <f aca="true">IF(AND(C159&lt;&gt;"",K159&lt;&gt;"Hoàn thành",J159&lt;&gt;"",J159&lt;=TODAY()),MAX(S$5:S158)+1,"")</f>
        <v/>
      </c>
      <c r="T159" s="9" t="str">
        <f aca="false">IF(AND(C159&lt;&gt;"",IF(K159="","Chưa làm",K159)="Chưa làm"),MAX(T$5:T158)+1,"")</f>
        <v/>
      </c>
      <c r="U159" s="9" t="str">
        <f aca="false">IF(AND(C159&lt;&gt;"",IF(K159="","Chưa làm",K159)="Đang làm"),MAX(U$5:U158)+1,"")</f>
        <v/>
      </c>
      <c r="V159" s="9" t="str">
        <f aca="false">IF(AND(C159&lt;&gt;"",IF(K159="","Chưa làm",K159)="Chờ duyệt"),MAX(V$5:V158)+1,"")</f>
        <v/>
      </c>
      <c r="W159" s="9" t="str">
        <f aca="false">IF(AND(C159&lt;&gt;"",IF(K159="","Chưa làm",K159)="Hoàn thành"),MAX(W$5:W158)+1,"")</f>
        <v/>
      </c>
      <c r="X159" s="9" t="str">
        <f aca="false">IF(AND(C159&lt;&gt;"",K159&lt;&gt;"Hoàn thành",N159="1. Làm ngay"),MAX(X$5:X158)+1,"")</f>
        <v/>
      </c>
      <c r="Y159" s="9" t="str">
        <f aca="false">IF(AND(C159&lt;&gt;"",K159&lt;&gt;"Hoàn thành",N159="2. Lên lịch"),MAX(Y$5:Y158)+1,"")</f>
        <v/>
      </c>
      <c r="Z159" s="9" t="str">
        <f aca="false">IF(AND(C159&lt;&gt;"",K159&lt;&gt;"Hoàn thành",N159="3. Giao lại"),MAX(Z$5:Z158)+1,"")</f>
        <v/>
      </c>
      <c r="AA159" s="9" t="str">
        <f aca="false">IF(AND(C159&lt;&gt;"",K159&lt;&gt;"Hoàn thành",N159="4. Để sau"),MAX(AA$5:AA158)+1,"")</f>
        <v/>
      </c>
      <c r="AB159" s="9" t="str">
        <f aca="false">IF(AND(C159&lt;&gt;"",J159&lt;&gt;"",J159&gt;=TUAN!$C$3,J159&lt;=TUAN!$C$3+6),MAX(AB$5:AB158)+1,"")</f>
        <v/>
      </c>
    </row>
    <row r="160" customFormat="false" ht="15" hidden="false" customHeight="false" outlineLevel="0" collapsed="false">
      <c r="A160" s="9" t="str">
        <f aca="false">IF(C160="","","CV"&amp;TEXT(ROW()-5,"000"))</f>
        <v/>
      </c>
      <c r="B160" s="10"/>
      <c r="C160" s="11"/>
      <c r="D160" s="12"/>
      <c r="E160" s="12"/>
      <c r="F160" s="12"/>
      <c r="G160" s="12"/>
      <c r="H160" s="12"/>
      <c r="I160" s="12"/>
      <c r="J160" s="10"/>
      <c r="K160" s="12"/>
      <c r="L160" s="10"/>
      <c r="M160" s="12"/>
      <c r="N160" s="9" t="str">
        <f aca="false">IF(C160="","",IF(AND(H160="Có",I160="Có"),"1. Làm ngay",IF(H160="Có","2. Lên lịch",IF(I160="Có","3. Giao lại","4. Để sau"))))</f>
        <v/>
      </c>
      <c r="O160" s="9" t="str">
        <f aca="true">IF(OR(C160="",J160="",K160="Hoàn thành"),"",J160-TODAY())</f>
        <v/>
      </c>
      <c r="P160" s="9" t="str">
        <f aca="true">IF(C160="","",IF(K160="Hoàn thành",IF(OR(L160="",J160=""),"Xong (thiếu ngày)",IF(L160&lt;=J160,"Xong đúng hạn","Xong trễ")),IF(J160="","Chưa có hạn",IF(J160&lt;TODAY(),"Quá hạn",IF(J160=TODAY(),"Đến hạn hôm nay",IF(J160-TODAY()&lt;=3,"Sắp đến hạn","Trong hạn"))))))</f>
        <v/>
      </c>
      <c r="Q160" s="9" t="str">
        <f aca="false">IF(OR(C160="",J160=""),"",WEEKNUM(J160,21))</f>
        <v/>
      </c>
      <c r="R160" s="2"/>
      <c r="S160" s="9" t="str">
        <f aca="true">IF(AND(C160&lt;&gt;"",K160&lt;&gt;"Hoàn thành",J160&lt;&gt;"",J160&lt;=TODAY()),MAX(S$5:S159)+1,"")</f>
        <v/>
      </c>
      <c r="T160" s="9" t="str">
        <f aca="false">IF(AND(C160&lt;&gt;"",IF(K160="","Chưa làm",K160)="Chưa làm"),MAX(T$5:T159)+1,"")</f>
        <v/>
      </c>
      <c r="U160" s="9" t="str">
        <f aca="false">IF(AND(C160&lt;&gt;"",IF(K160="","Chưa làm",K160)="Đang làm"),MAX(U$5:U159)+1,"")</f>
        <v/>
      </c>
      <c r="V160" s="9" t="str">
        <f aca="false">IF(AND(C160&lt;&gt;"",IF(K160="","Chưa làm",K160)="Chờ duyệt"),MAX(V$5:V159)+1,"")</f>
        <v/>
      </c>
      <c r="W160" s="9" t="str">
        <f aca="false">IF(AND(C160&lt;&gt;"",IF(K160="","Chưa làm",K160)="Hoàn thành"),MAX(W$5:W159)+1,"")</f>
        <v/>
      </c>
      <c r="X160" s="9" t="str">
        <f aca="false">IF(AND(C160&lt;&gt;"",K160&lt;&gt;"Hoàn thành",N160="1. Làm ngay"),MAX(X$5:X159)+1,"")</f>
        <v/>
      </c>
      <c r="Y160" s="9" t="str">
        <f aca="false">IF(AND(C160&lt;&gt;"",K160&lt;&gt;"Hoàn thành",N160="2. Lên lịch"),MAX(Y$5:Y159)+1,"")</f>
        <v/>
      </c>
      <c r="Z160" s="9" t="str">
        <f aca="false">IF(AND(C160&lt;&gt;"",K160&lt;&gt;"Hoàn thành",N160="3. Giao lại"),MAX(Z$5:Z159)+1,"")</f>
        <v/>
      </c>
      <c r="AA160" s="9" t="str">
        <f aca="false">IF(AND(C160&lt;&gt;"",K160&lt;&gt;"Hoàn thành",N160="4. Để sau"),MAX(AA$5:AA159)+1,"")</f>
        <v/>
      </c>
      <c r="AB160" s="9" t="str">
        <f aca="false">IF(AND(C160&lt;&gt;"",J160&lt;&gt;"",J160&gt;=TUAN!$C$3,J160&lt;=TUAN!$C$3+6),MAX(AB$5:AB159)+1,"")</f>
        <v/>
      </c>
    </row>
    <row r="161" customFormat="false" ht="15" hidden="false" customHeight="false" outlineLevel="0" collapsed="false">
      <c r="A161" s="9" t="str">
        <f aca="false">IF(C161="","","CV"&amp;TEXT(ROW()-5,"000"))</f>
        <v/>
      </c>
      <c r="B161" s="10"/>
      <c r="C161" s="11"/>
      <c r="D161" s="12"/>
      <c r="E161" s="12"/>
      <c r="F161" s="12"/>
      <c r="G161" s="12"/>
      <c r="H161" s="12"/>
      <c r="I161" s="12"/>
      <c r="J161" s="10"/>
      <c r="K161" s="12"/>
      <c r="L161" s="10"/>
      <c r="M161" s="12"/>
      <c r="N161" s="9" t="str">
        <f aca="false">IF(C161="","",IF(AND(H161="Có",I161="Có"),"1. Làm ngay",IF(H161="Có","2. Lên lịch",IF(I161="Có","3. Giao lại","4. Để sau"))))</f>
        <v/>
      </c>
      <c r="O161" s="9" t="str">
        <f aca="true">IF(OR(C161="",J161="",K161="Hoàn thành"),"",J161-TODAY())</f>
        <v/>
      </c>
      <c r="P161" s="9" t="str">
        <f aca="true">IF(C161="","",IF(K161="Hoàn thành",IF(OR(L161="",J161=""),"Xong (thiếu ngày)",IF(L161&lt;=J161,"Xong đúng hạn","Xong trễ")),IF(J161="","Chưa có hạn",IF(J161&lt;TODAY(),"Quá hạn",IF(J161=TODAY(),"Đến hạn hôm nay",IF(J161-TODAY()&lt;=3,"Sắp đến hạn","Trong hạn"))))))</f>
        <v/>
      </c>
      <c r="Q161" s="9" t="str">
        <f aca="false">IF(OR(C161="",J161=""),"",WEEKNUM(J161,21))</f>
        <v/>
      </c>
      <c r="R161" s="2"/>
      <c r="S161" s="9" t="str">
        <f aca="true">IF(AND(C161&lt;&gt;"",K161&lt;&gt;"Hoàn thành",J161&lt;&gt;"",J161&lt;=TODAY()),MAX(S$5:S160)+1,"")</f>
        <v/>
      </c>
      <c r="T161" s="9" t="str">
        <f aca="false">IF(AND(C161&lt;&gt;"",IF(K161="","Chưa làm",K161)="Chưa làm"),MAX(T$5:T160)+1,"")</f>
        <v/>
      </c>
      <c r="U161" s="9" t="str">
        <f aca="false">IF(AND(C161&lt;&gt;"",IF(K161="","Chưa làm",K161)="Đang làm"),MAX(U$5:U160)+1,"")</f>
        <v/>
      </c>
      <c r="V161" s="9" t="str">
        <f aca="false">IF(AND(C161&lt;&gt;"",IF(K161="","Chưa làm",K161)="Chờ duyệt"),MAX(V$5:V160)+1,"")</f>
        <v/>
      </c>
      <c r="W161" s="9" t="str">
        <f aca="false">IF(AND(C161&lt;&gt;"",IF(K161="","Chưa làm",K161)="Hoàn thành"),MAX(W$5:W160)+1,"")</f>
        <v/>
      </c>
      <c r="X161" s="9" t="str">
        <f aca="false">IF(AND(C161&lt;&gt;"",K161&lt;&gt;"Hoàn thành",N161="1. Làm ngay"),MAX(X$5:X160)+1,"")</f>
        <v/>
      </c>
      <c r="Y161" s="9" t="str">
        <f aca="false">IF(AND(C161&lt;&gt;"",K161&lt;&gt;"Hoàn thành",N161="2. Lên lịch"),MAX(Y$5:Y160)+1,"")</f>
        <v/>
      </c>
      <c r="Z161" s="9" t="str">
        <f aca="false">IF(AND(C161&lt;&gt;"",K161&lt;&gt;"Hoàn thành",N161="3. Giao lại"),MAX(Z$5:Z160)+1,"")</f>
        <v/>
      </c>
      <c r="AA161" s="9" t="str">
        <f aca="false">IF(AND(C161&lt;&gt;"",K161&lt;&gt;"Hoàn thành",N161="4. Để sau"),MAX(AA$5:AA160)+1,"")</f>
        <v/>
      </c>
      <c r="AB161" s="9" t="str">
        <f aca="false">IF(AND(C161&lt;&gt;"",J161&lt;&gt;"",J161&gt;=TUAN!$C$3,J161&lt;=TUAN!$C$3+6),MAX(AB$5:AB160)+1,"")</f>
        <v/>
      </c>
    </row>
    <row r="162" customFormat="false" ht="15" hidden="false" customHeight="false" outlineLevel="0" collapsed="false">
      <c r="A162" s="9" t="str">
        <f aca="false">IF(C162="","","CV"&amp;TEXT(ROW()-5,"000"))</f>
        <v/>
      </c>
      <c r="B162" s="10"/>
      <c r="C162" s="11"/>
      <c r="D162" s="12"/>
      <c r="E162" s="12"/>
      <c r="F162" s="12"/>
      <c r="G162" s="12"/>
      <c r="H162" s="12"/>
      <c r="I162" s="12"/>
      <c r="J162" s="10"/>
      <c r="K162" s="12"/>
      <c r="L162" s="10"/>
      <c r="M162" s="12"/>
      <c r="N162" s="9" t="str">
        <f aca="false">IF(C162="","",IF(AND(H162="Có",I162="Có"),"1. Làm ngay",IF(H162="Có","2. Lên lịch",IF(I162="Có","3. Giao lại","4. Để sau"))))</f>
        <v/>
      </c>
      <c r="O162" s="9" t="str">
        <f aca="true">IF(OR(C162="",J162="",K162="Hoàn thành"),"",J162-TODAY())</f>
        <v/>
      </c>
      <c r="P162" s="9" t="str">
        <f aca="true">IF(C162="","",IF(K162="Hoàn thành",IF(OR(L162="",J162=""),"Xong (thiếu ngày)",IF(L162&lt;=J162,"Xong đúng hạn","Xong trễ")),IF(J162="","Chưa có hạn",IF(J162&lt;TODAY(),"Quá hạn",IF(J162=TODAY(),"Đến hạn hôm nay",IF(J162-TODAY()&lt;=3,"Sắp đến hạn","Trong hạn"))))))</f>
        <v/>
      </c>
      <c r="Q162" s="9" t="str">
        <f aca="false">IF(OR(C162="",J162=""),"",WEEKNUM(J162,21))</f>
        <v/>
      </c>
      <c r="R162" s="2"/>
      <c r="S162" s="9" t="str">
        <f aca="true">IF(AND(C162&lt;&gt;"",K162&lt;&gt;"Hoàn thành",J162&lt;&gt;"",J162&lt;=TODAY()),MAX(S$5:S161)+1,"")</f>
        <v/>
      </c>
      <c r="T162" s="9" t="str">
        <f aca="false">IF(AND(C162&lt;&gt;"",IF(K162="","Chưa làm",K162)="Chưa làm"),MAX(T$5:T161)+1,"")</f>
        <v/>
      </c>
      <c r="U162" s="9" t="str">
        <f aca="false">IF(AND(C162&lt;&gt;"",IF(K162="","Chưa làm",K162)="Đang làm"),MAX(U$5:U161)+1,"")</f>
        <v/>
      </c>
      <c r="V162" s="9" t="str">
        <f aca="false">IF(AND(C162&lt;&gt;"",IF(K162="","Chưa làm",K162)="Chờ duyệt"),MAX(V$5:V161)+1,"")</f>
        <v/>
      </c>
      <c r="W162" s="9" t="str">
        <f aca="false">IF(AND(C162&lt;&gt;"",IF(K162="","Chưa làm",K162)="Hoàn thành"),MAX(W$5:W161)+1,"")</f>
        <v/>
      </c>
      <c r="X162" s="9" t="str">
        <f aca="false">IF(AND(C162&lt;&gt;"",K162&lt;&gt;"Hoàn thành",N162="1. Làm ngay"),MAX(X$5:X161)+1,"")</f>
        <v/>
      </c>
      <c r="Y162" s="9" t="str">
        <f aca="false">IF(AND(C162&lt;&gt;"",K162&lt;&gt;"Hoàn thành",N162="2. Lên lịch"),MAX(Y$5:Y161)+1,"")</f>
        <v/>
      </c>
      <c r="Z162" s="9" t="str">
        <f aca="false">IF(AND(C162&lt;&gt;"",K162&lt;&gt;"Hoàn thành",N162="3. Giao lại"),MAX(Z$5:Z161)+1,"")</f>
        <v/>
      </c>
      <c r="AA162" s="9" t="str">
        <f aca="false">IF(AND(C162&lt;&gt;"",K162&lt;&gt;"Hoàn thành",N162="4. Để sau"),MAX(AA$5:AA161)+1,"")</f>
        <v/>
      </c>
      <c r="AB162" s="9" t="str">
        <f aca="false">IF(AND(C162&lt;&gt;"",J162&lt;&gt;"",J162&gt;=TUAN!$C$3,J162&lt;=TUAN!$C$3+6),MAX(AB$5:AB161)+1,"")</f>
        <v/>
      </c>
    </row>
    <row r="163" customFormat="false" ht="15" hidden="false" customHeight="false" outlineLevel="0" collapsed="false">
      <c r="A163" s="9" t="str">
        <f aca="false">IF(C163="","","CV"&amp;TEXT(ROW()-5,"000"))</f>
        <v/>
      </c>
      <c r="B163" s="10"/>
      <c r="C163" s="11"/>
      <c r="D163" s="12"/>
      <c r="E163" s="12"/>
      <c r="F163" s="12"/>
      <c r="G163" s="12"/>
      <c r="H163" s="12"/>
      <c r="I163" s="12"/>
      <c r="J163" s="10"/>
      <c r="K163" s="12"/>
      <c r="L163" s="10"/>
      <c r="M163" s="12"/>
      <c r="N163" s="9" t="str">
        <f aca="false">IF(C163="","",IF(AND(H163="Có",I163="Có"),"1. Làm ngay",IF(H163="Có","2. Lên lịch",IF(I163="Có","3. Giao lại","4. Để sau"))))</f>
        <v/>
      </c>
      <c r="O163" s="9" t="str">
        <f aca="true">IF(OR(C163="",J163="",K163="Hoàn thành"),"",J163-TODAY())</f>
        <v/>
      </c>
      <c r="P163" s="9" t="str">
        <f aca="true">IF(C163="","",IF(K163="Hoàn thành",IF(OR(L163="",J163=""),"Xong (thiếu ngày)",IF(L163&lt;=J163,"Xong đúng hạn","Xong trễ")),IF(J163="","Chưa có hạn",IF(J163&lt;TODAY(),"Quá hạn",IF(J163=TODAY(),"Đến hạn hôm nay",IF(J163-TODAY()&lt;=3,"Sắp đến hạn","Trong hạn"))))))</f>
        <v/>
      </c>
      <c r="Q163" s="9" t="str">
        <f aca="false">IF(OR(C163="",J163=""),"",WEEKNUM(J163,21))</f>
        <v/>
      </c>
      <c r="R163" s="2"/>
      <c r="S163" s="9" t="str">
        <f aca="true">IF(AND(C163&lt;&gt;"",K163&lt;&gt;"Hoàn thành",J163&lt;&gt;"",J163&lt;=TODAY()),MAX(S$5:S162)+1,"")</f>
        <v/>
      </c>
      <c r="T163" s="9" t="str">
        <f aca="false">IF(AND(C163&lt;&gt;"",IF(K163="","Chưa làm",K163)="Chưa làm"),MAX(T$5:T162)+1,"")</f>
        <v/>
      </c>
      <c r="U163" s="9" t="str">
        <f aca="false">IF(AND(C163&lt;&gt;"",IF(K163="","Chưa làm",K163)="Đang làm"),MAX(U$5:U162)+1,"")</f>
        <v/>
      </c>
      <c r="V163" s="9" t="str">
        <f aca="false">IF(AND(C163&lt;&gt;"",IF(K163="","Chưa làm",K163)="Chờ duyệt"),MAX(V$5:V162)+1,"")</f>
        <v/>
      </c>
      <c r="W163" s="9" t="str">
        <f aca="false">IF(AND(C163&lt;&gt;"",IF(K163="","Chưa làm",K163)="Hoàn thành"),MAX(W$5:W162)+1,"")</f>
        <v/>
      </c>
      <c r="X163" s="9" t="str">
        <f aca="false">IF(AND(C163&lt;&gt;"",K163&lt;&gt;"Hoàn thành",N163="1. Làm ngay"),MAX(X$5:X162)+1,"")</f>
        <v/>
      </c>
      <c r="Y163" s="9" t="str">
        <f aca="false">IF(AND(C163&lt;&gt;"",K163&lt;&gt;"Hoàn thành",N163="2. Lên lịch"),MAX(Y$5:Y162)+1,"")</f>
        <v/>
      </c>
      <c r="Z163" s="9" t="str">
        <f aca="false">IF(AND(C163&lt;&gt;"",K163&lt;&gt;"Hoàn thành",N163="3. Giao lại"),MAX(Z$5:Z162)+1,"")</f>
        <v/>
      </c>
      <c r="AA163" s="9" t="str">
        <f aca="false">IF(AND(C163&lt;&gt;"",K163&lt;&gt;"Hoàn thành",N163="4. Để sau"),MAX(AA$5:AA162)+1,"")</f>
        <v/>
      </c>
      <c r="AB163" s="9" t="str">
        <f aca="false">IF(AND(C163&lt;&gt;"",J163&lt;&gt;"",J163&gt;=TUAN!$C$3,J163&lt;=TUAN!$C$3+6),MAX(AB$5:AB162)+1,"")</f>
        <v/>
      </c>
    </row>
    <row r="164" customFormat="false" ht="15" hidden="false" customHeight="false" outlineLevel="0" collapsed="false">
      <c r="A164" s="9" t="str">
        <f aca="false">IF(C164="","","CV"&amp;TEXT(ROW()-5,"000"))</f>
        <v/>
      </c>
      <c r="B164" s="10"/>
      <c r="C164" s="11"/>
      <c r="D164" s="12"/>
      <c r="E164" s="12"/>
      <c r="F164" s="12"/>
      <c r="G164" s="12"/>
      <c r="H164" s="12"/>
      <c r="I164" s="12"/>
      <c r="J164" s="10"/>
      <c r="K164" s="12"/>
      <c r="L164" s="10"/>
      <c r="M164" s="12"/>
      <c r="N164" s="9" t="str">
        <f aca="false">IF(C164="","",IF(AND(H164="Có",I164="Có"),"1. Làm ngay",IF(H164="Có","2. Lên lịch",IF(I164="Có","3. Giao lại","4. Để sau"))))</f>
        <v/>
      </c>
      <c r="O164" s="9" t="str">
        <f aca="true">IF(OR(C164="",J164="",K164="Hoàn thành"),"",J164-TODAY())</f>
        <v/>
      </c>
      <c r="P164" s="9" t="str">
        <f aca="true">IF(C164="","",IF(K164="Hoàn thành",IF(OR(L164="",J164=""),"Xong (thiếu ngày)",IF(L164&lt;=J164,"Xong đúng hạn","Xong trễ")),IF(J164="","Chưa có hạn",IF(J164&lt;TODAY(),"Quá hạn",IF(J164=TODAY(),"Đến hạn hôm nay",IF(J164-TODAY()&lt;=3,"Sắp đến hạn","Trong hạn"))))))</f>
        <v/>
      </c>
      <c r="Q164" s="9" t="str">
        <f aca="false">IF(OR(C164="",J164=""),"",WEEKNUM(J164,21))</f>
        <v/>
      </c>
      <c r="R164" s="2"/>
      <c r="S164" s="9" t="str">
        <f aca="true">IF(AND(C164&lt;&gt;"",K164&lt;&gt;"Hoàn thành",J164&lt;&gt;"",J164&lt;=TODAY()),MAX(S$5:S163)+1,"")</f>
        <v/>
      </c>
      <c r="T164" s="9" t="str">
        <f aca="false">IF(AND(C164&lt;&gt;"",IF(K164="","Chưa làm",K164)="Chưa làm"),MAX(T$5:T163)+1,"")</f>
        <v/>
      </c>
      <c r="U164" s="9" t="str">
        <f aca="false">IF(AND(C164&lt;&gt;"",IF(K164="","Chưa làm",K164)="Đang làm"),MAX(U$5:U163)+1,"")</f>
        <v/>
      </c>
      <c r="V164" s="9" t="str">
        <f aca="false">IF(AND(C164&lt;&gt;"",IF(K164="","Chưa làm",K164)="Chờ duyệt"),MAX(V$5:V163)+1,"")</f>
        <v/>
      </c>
      <c r="W164" s="9" t="str">
        <f aca="false">IF(AND(C164&lt;&gt;"",IF(K164="","Chưa làm",K164)="Hoàn thành"),MAX(W$5:W163)+1,"")</f>
        <v/>
      </c>
      <c r="X164" s="9" t="str">
        <f aca="false">IF(AND(C164&lt;&gt;"",K164&lt;&gt;"Hoàn thành",N164="1. Làm ngay"),MAX(X$5:X163)+1,"")</f>
        <v/>
      </c>
      <c r="Y164" s="9" t="str">
        <f aca="false">IF(AND(C164&lt;&gt;"",K164&lt;&gt;"Hoàn thành",N164="2. Lên lịch"),MAX(Y$5:Y163)+1,"")</f>
        <v/>
      </c>
      <c r="Z164" s="9" t="str">
        <f aca="false">IF(AND(C164&lt;&gt;"",K164&lt;&gt;"Hoàn thành",N164="3. Giao lại"),MAX(Z$5:Z163)+1,"")</f>
        <v/>
      </c>
      <c r="AA164" s="9" t="str">
        <f aca="false">IF(AND(C164&lt;&gt;"",K164&lt;&gt;"Hoàn thành",N164="4. Để sau"),MAX(AA$5:AA163)+1,"")</f>
        <v/>
      </c>
      <c r="AB164" s="9" t="str">
        <f aca="false">IF(AND(C164&lt;&gt;"",J164&lt;&gt;"",J164&gt;=TUAN!$C$3,J164&lt;=TUAN!$C$3+6),MAX(AB$5:AB163)+1,"")</f>
        <v/>
      </c>
    </row>
    <row r="165" customFormat="false" ht="15" hidden="false" customHeight="false" outlineLevel="0" collapsed="false">
      <c r="A165" s="9" t="str">
        <f aca="false">IF(C165="","","CV"&amp;TEXT(ROW()-5,"000"))</f>
        <v/>
      </c>
      <c r="B165" s="10"/>
      <c r="C165" s="11"/>
      <c r="D165" s="12"/>
      <c r="E165" s="12"/>
      <c r="F165" s="12"/>
      <c r="G165" s="12"/>
      <c r="H165" s="12"/>
      <c r="I165" s="12"/>
      <c r="J165" s="10"/>
      <c r="K165" s="12"/>
      <c r="L165" s="10"/>
      <c r="M165" s="12"/>
      <c r="N165" s="9" t="str">
        <f aca="false">IF(C165="","",IF(AND(H165="Có",I165="Có"),"1. Làm ngay",IF(H165="Có","2. Lên lịch",IF(I165="Có","3. Giao lại","4. Để sau"))))</f>
        <v/>
      </c>
      <c r="O165" s="9" t="str">
        <f aca="true">IF(OR(C165="",J165="",K165="Hoàn thành"),"",J165-TODAY())</f>
        <v/>
      </c>
      <c r="P165" s="9" t="str">
        <f aca="true">IF(C165="","",IF(K165="Hoàn thành",IF(OR(L165="",J165=""),"Xong (thiếu ngày)",IF(L165&lt;=J165,"Xong đúng hạn","Xong trễ")),IF(J165="","Chưa có hạn",IF(J165&lt;TODAY(),"Quá hạn",IF(J165=TODAY(),"Đến hạn hôm nay",IF(J165-TODAY()&lt;=3,"Sắp đến hạn","Trong hạn"))))))</f>
        <v/>
      </c>
      <c r="Q165" s="9" t="str">
        <f aca="false">IF(OR(C165="",J165=""),"",WEEKNUM(J165,21))</f>
        <v/>
      </c>
      <c r="R165" s="2"/>
      <c r="S165" s="9" t="str">
        <f aca="true">IF(AND(C165&lt;&gt;"",K165&lt;&gt;"Hoàn thành",J165&lt;&gt;"",J165&lt;=TODAY()),MAX(S$5:S164)+1,"")</f>
        <v/>
      </c>
      <c r="T165" s="9" t="str">
        <f aca="false">IF(AND(C165&lt;&gt;"",IF(K165="","Chưa làm",K165)="Chưa làm"),MAX(T$5:T164)+1,"")</f>
        <v/>
      </c>
      <c r="U165" s="9" t="str">
        <f aca="false">IF(AND(C165&lt;&gt;"",IF(K165="","Chưa làm",K165)="Đang làm"),MAX(U$5:U164)+1,"")</f>
        <v/>
      </c>
      <c r="V165" s="9" t="str">
        <f aca="false">IF(AND(C165&lt;&gt;"",IF(K165="","Chưa làm",K165)="Chờ duyệt"),MAX(V$5:V164)+1,"")</f>
        <v/>
      </c>
      <c r="W165" s="9" t="str">
        <f aca="false">IF(AND(C165&lt;&gt;"",IF(K165="","Chưa làm",K165)="Hoàn thành"),MAX(W$5:W164)+1,"")</f>
        <v/>
      </c>
      <c r="X165" s="9" t="str">
        <f aca="false">IF(AND(C165&lt;&gt;"",K165&lt;&gt;"Hoàn thành",N165="1. Làm ngay"),MAX(X$5:X164)+1,"")</f>
        <v/>
      </c>
      <c r="Y165" s="9" t="str">
        <f aca="false">IF(AND(C165&lt;&gt;"",K165&lt;&gt;"Hoàn thành",N165="2. Lên lịch"),MAX(Y$5:Y164)+1,"")</f>
        <v/>
      </c>
      <c r="Z165" s="9" t="str">
        <f aca="false">IF(AND(C165&lt;&gt;"",K165&lt;&gt;"Hoàn thành",N165="3. Giao lại"),MAX(Z$5:Z164)+1,"")</f>
        <v/>
      </c>
      <c r="AA165" s="9" t="str">
        <f aca="false">IF(AND(C165&lt;&gt;"",K165&lt;&gt;"Hoàn thành",N165="4. Để sau"),MAX(AA$5:AA164)+1,"")</f>
        <v/>
      </c>
      <c r="AB165" s="9" t="str">
        <f aca="false">IF(AND(C165&lt;&gt;"",J165&lt;&gt;"",J165&gt;=TUAN!$C$3,J165&lt;=TUAN!$C$3+6),MAX(AB$5:AB164)+1,"")</f>
        <v/>
      </c>
    </row>
    <row r="166" customFormat="false" ht="15" hidden="false" customHeight="false" outlineLevel="0" collapsed="false">
      <c r="A166" s="9" t="str">
        <f aca="false">IF(C166="","","CV"&amp;TEXT(ROW()-5,"000"))</f>
        <v/>
      </c>
      <c r="B166" s="10"/>
      <c r="C166" s="11"/>
      <c r="D166" s="12"/>
      <c r="E166" s="12"/>
      <c r="F166" s="12"/>
      <c r="G166" s="12"/>
      <c r="H166" s="12"/>
      <c r="I166" s="12"/>
      <c r="J166" s="10"/>
      <c r="K166" s="12"/>
      <c r="L166" s="10"/>
      <c r="M166" s="12"/>
      <c r="N166" s="9" t="str">
        <f aca="false">IF(C166="","",IF(AND(H166="Có",I166="Có"),"1. Làm ngay",IF(H166="Có","2. Lên lịch",IF(I166="Có","3. Giao lại","4. Để sau"))))</f>
        <v/>
      </c>
      <c r="O166" s="9" t="str">
        <f aca="true">IF(OR(C166="",J166="",K166="Hoàn thành"),"",J166-TODAY())</f>
        <v/>
      </c>
      <c r="P166" s="9" t="str">
        <f aca="true">IF(C166="","",IF(K166="Hoàn thành",IF(OR(L166="",J166=""),"Xong (thiếu ngày)",IF(L166&lt;=J166,"Xong đúng hạn","Xong trễ")),IF(J166="","Chưa có hạn",IF(J166&lt;TODAY(),"Quá hạn",IF(J166=TODAY(),"Đến hạn hôm nay",IF(J166-TODAY()&lt;=3,"Sắp đến hạn","Trong hạn"))))))</f>
        <v/>
      </c>
      <c r="Q166" s="9" t="str">
        <f aca="false">IF(OR(C166="",J166=""),"",WEEKNUM(J166,21))</f>
        <v/>
      </c>
      <c r="R166" s="2"/>
      <c r="S166" s="9" t="str">
        <f aca="true">IF(AND(C166&lt;&gt;"",K166&lt;&gt;"Hoàn thành",J166&lt;&gt;"",J166&lt;=TODAY()),MAX(S$5:S165)+1,"")</f>
        <v/>
      </c>
      <c r="T166" s="9" t="str">
        <f aca="false">IF(AND(C166&lt;&gt;"",IF(K166="","Chưa làm",K166)="Chưa làm"),MAX(T$5:T165)+1,"")</f>
        <v/>
      </c>
      <c r="U166" s="9" t="str">
        <f aca="false">IF(AND(C166&lt;&gt;"",IF(K166="","Chưa làm",K166)="Đang làm"),MAX(U$5:U165)+1,"")</f>
        <v/>
      </c>
      <c r="V166" s="9" t="str">
        <f aca="false">IF(AND(C166&lt;&gt;"",IF(K166="","Chưa làm",K166)="Chờ duyệt"),MAX(V$5:V165)+1,"")</f>
        <v/>
      </c>
      <c r="W166" s="9" t="str">
        <f aca="false">IF(AND(C166&lt;&gt;"",IF(K166="","Chưa làm",K166)="Hoàn thành"),MAX(W$5:W165)+1,"")</f>
        <v/>
      </c>
      <c r="X166" s="9" t="str">
        <f aca="false">IF(AND(C166&lt;&gt;"",K166&lt;&gt;"Hoàn thành",N166="1. Làm ngay"),MAX(X$5:X165)+1,"")</f>
        <v/>
      </c>
      <c r="Y166" s="9" t="str">
        <f aca="false">IF(AND(C166&lt;&gt;"",K166&lt;&gt;"Hoàn thành",N166="2. Lên lịch"),MAX(Y$5:Y165)+1,"")</f>
        <v/>
      </c>
      <c r="Z166" s="9" t="str">
        <f aca="false">IF(AND(C166&lt;&gt;"",K166&lt;&gt;"Hoàn thành",N166="3. Giao lại"),MAX(Z$5:Z165)+1,"")</f>
        <v/>
      </c>
      <c r="AA166" s="9" t="str">
        <f aca="false">IF(AND(C166&lt;&gt;"",K166&lt;&gt;"Hoàn thành",N166="4. Để sau"),MAX(AA$5:AA165)+1,"")</f>
        <v/>
      </c>
      <c r="AB166" s="9" t="str">
        <f aca="false">IF(AND(C166&lt;&gt;"",J166&lt;&gt;"",J166&gt;=TUAN!$C$3,J166&lt;=TUAN!$C$3+6),MAX(AB$5:AB165)+1,"")</f>
        <v/>
      </c>
    </row>
    <row r="167" customFormat="false" ht="15" hidden="false" customHeight="false" outlineLevel="0" collapsed="false">
      <c r="A167" s="9" t="str">
        <f aca="false">IF(C167="","","CV"&amp;TEXT(ROW()-5,"000"))</f>
        <v/>
      </c>
      <c r="B167" s="10"/>
      <c r="C167" s="11"/>
      <c r="D167" s="12"/>
      <c r="E167" s="12"/>
      <c r="F167" s="12"/>
      <c r="G167" s="12"/>
      <c r="H167" s="12"/>
      <c r="I167" s="12"/>
      <c r="J167" s="10"/>
      <c r="K167" s="12"/>
      <c r="L167" s="10"/>
      <c r="M167" s="12"/>
      <c r="N167" s="9" t="str">
        <f aca="false">IF(C167="","",IF(AND(H167="Có",I167="Có"),"1. Làm ngay",IF(H167="Có","2. Lên lịch",IF(I167="Có","3. Giao lại","4. Để sau"))))</f>
        <v/>
      </c>
      <c r="O167" s="9" t="str">
        <f aca="true">IF(OR(C167="",J167="",K167="Hoàn thành"),"",J167-TODAY())</f>
        <v/>
      </c>
      <c r="P167" s="9" t="str">
        <f aca="true">IF(C167="","",IF(K167="Hoàn thành",IF(OR(L167="",J167=""),"Xong (thiếu ngày)",IF(L167&lt;=J167,"Xong đúng hạn","Xong trễ")),IF(J167="","Chưa có hạn",IF(J167&lt;TODAY(),"Quá hạn",IF(J167=TODAY(),"Đến hạn hôm nay",IF(J167-TODAY()&lt;=3,"Sắp đến hạn","Trong hạn"))))))</f>
        <v/>
      </c>
      <c r="Q167" s="9" t="str">
        <f aca="false">IF(OR(C167="",J167=""),"",WEEKNUM(J167,21))</f>
        <v/>
      </c>
      <c r="R167" s="2"/>
      <c r="S167" s="9" t="str">
        <f aca="true">IF(AND(C167&lt;&gt;"",K167&lt;&gt;"Hoàn thành",J167&lt;&gt;"",J167&lt;=TODAY()),MAX(S$5:S166)+1,"")</f>
        <v/>
      </c>
      <c r="T167" s="9" t="str">
        <f aca="false">IF(AND(C167&lt;&gt;"",IF(K167="","Chưa làm",K167)="Chưa làm"),MAX(T$5:T166)+1,"")</f>
        <v/>
      </c>
      <c r="U167" s="9" t="str">
        <f aca="false">IF(AND(C167&lt;&gt;"",IF(K167="","Chưa làm",K167)="Đang làm"),MAX(U$5:U166)+1,"")</f>
        <v/>
      </c>
      <c r="V167" s="9" t="str">
        <f aca="false">IF(AND(C167&lt;&gt;"",IF(K167="","Chưa làm",K167)="Chờ duyệt"),MAX(V$5:V166)+1,"")</f>
        <v/>
      </c>
      <c r="W167" s="9" t="str">
        <f aca="false">IF(AND(C167&lt;&gt;"",IF(K167="","Chưa làm",K167)="Hoàn thành"),MAX(W$5:W166)+1,"")</f>
        <v/>
      </c>
      <c r="X167" s="9" t="str">
        <f aca="false">IF(AND(C167&lt;&gt;"",K167&lt;&gt;"Hoàn thành",N167="1. Làm ngay"),MAX(X$5:X166)+1,"")</f>
        <v/>
      </c>
      <c r="Y167" s="9" t="str">
        <f aca="false">IF(AND(C167&lt;&gt;"",K167&lt;&gt;"Hoàn thành",N167="2. Lên lịch"),MAX(Y$5:Y166)+1,"")</f>
        <v/>
      </c>
      <c r="Z167" s="9" t="str">
        <f aca="false">IF(AND(C167&lt;&gt;"",K167&lt;&gt;"Hoàn thành",N167="3. Giao lại"),MAX(Z$5:Z166)+1,"")</f>
        <v/>
      </c>
      <c r="AA167" s="9" t="str">
        <f aca="false">IF(AND(C167&lt;&gt;"",K167&lt;&gt;"Hoàn thành",N167="4. Để sau"),MAX(AA$5:AA166)+1,"")</f>
        <v/>
      </c>
      <c r="AB167" s="9" t="str">
        <f aca="false">IF(AND(C167&lt;&gt;"",J167&lt;&gt;"",J167&gt;=TUAN!$C$3,J167&lt;=TUAN!$C$3+6),MAX(AB$5:AB166)+1,"")</f>
        <v/>
      </c>
    </row>
    <row r="168" customFormat="false" ht="15" hidden="false" customHeight="false" outlineLevel="0" collapsed="false">
      <c r="A168" s="9" t="str">
        <f aca="false">IF(C168="","","CV"&amp;TEXT(ROW()-5,"000"))</f>
        <v/>
      </c>
      <c r="B168" s="10"/>
      <c r="C168" s="11"/>
      <c r="D168" s="12"/>
      <c r="E168" s="12"/>
      <c r="F168" s="12"/>
      <c r="G168" s="12"/>
      <c r="H168" s="12"/>
      <c r="I168" s="12"/>
      <c r="J168" s="10"/>
      <c r="K168" s="12"/>
      <c r="L168" s="10"/>
      <c r="M168" s="12"/>
      <c r="N168" s="9" t="str">
        <f aca="false">IF(C168="","",IF(AND(H168="Có",I168="Có"),"1. Làm ngay",IF(H168="Có","2. Lên lịch",IF(I168="Có","3. Giao lại","4. Để sau"))))</f>
        <v/>
      </c>
      <c r="O168" s="9" t="str">
        <f aca="true">IF(OR(C168="",J168="",K168="Hoàn thành"),"",J168-TODAY())</f>
        <v/>
      </c>
      <c r="P168" s="9" t="str">
        <f aca="true">IF(C168="","",IF(K168="Hoàn thành",IF(OR(L168="",J168=""),"Xong (thiếu ngày)",IF(L168&lt;=J168,"Xong đúng hạn","Xong trễ")),IF(J168="","Chưa có hạn",IF(J168&lt;TODAY(),"Quá hạn",IF(J168=TODAY(),"Đến hạn hôm nay",IF(J168-TODAY()&lt;=3,"Sắp đến hạn","Trong hạn"))))))</f>
        <v/>
      </c>
      <c r="Q168" s="9" t="str">
        <f aca="false">IF(OR(C168="",J168=""),"",WEEKNUM(J168,21))</f>
        <v/>
      </c>
      <c r="R168" s="2"/>
      <c r="S168" s="9" t="str">
        <f aca="true">IF(AND(C168&lt;&gt;"",K168&lt;&gt;"Hoàn thành",J168&lt;&gt;"",J168&lt;=TODAY()),MAX(S$5:S167)+1,"")</f>
        <v/>
      </c>
      <c r="T168" s="9" t="str">
        <f aca="false">IF(AND(C168&lt;&gt;"",IF(K168="","Chưa làm",K168)="Chưa làm"),MAX(T$5:T167)+1,"")</f>
        <v/>
      </c>
      <c r="U168" s="9" t="str">
        <f aca="false">IF(AND(C168&lt;&gt;"",IF(K168="","Chưa làm",K168)="Đang làm"),MAX(U$5:U167)+1,"")</f>
        <v/>
      </c>
      <c r="V168" s="9" t="str">
        <f aca="false">IF(AND(C168&lt;&gt;"",IF(K168="","Chưa làm",K168)="Chờ duyệt"),MAX(V$5:V167)+1,"")</f>
        <v/>
      </c>
      <c r="W168" s="9" t="str">
        <f aca="false">IF(AND(C168&lt;&gt;"",IF(K168="","Chưa làm",K168)="Hoàn thành"),MAX(W$5:W167)+1,"")</f>
        <v/>
      </c>
      <c r="X168" s="9" t="str">
        <f aca="false">IF(AND(C168&lt;&gt;"",K168&lt;&gt;"Hoàn thành",N168="1. Làm ngay"),MAX(X$5:X167)+1,"")</f>
        <v/>
      </c>
      <c r="Y168" s="9" t="str">
        <f aca="false">IF(AND(C168&lt;&gt;"",K168&lt;&gt;"Hoàn thành",N168="2. Lên lịch"),MAX(Y$5:Y167)+1,"")</f>
        <v/>
      </c>
      <c r="Z168" s="9" t="str">
        <f aca="false">IF(AND(C168&lt;&gt;"",K168&lt;&gt;"Hoàn thành",N168="3. Giao lại"),MAX(Z$5:Z167)+1,"")</f>
        <v/>
      </c>
      <c r="AA168" s="9" t="str">
        <f aca="false">IF(AND(C168&lt;&gt;"",K168&lt;&gt;"Hoàn thành",N168="4. Để sau"),MAX(AA$5:AA167)+1,"")</f>
        <v/>
      </c>
      <c r="AB168" s="9" t="str">
        <f aca="false">IF(AND(C168&lt;&gt;"",J168&lt;&gt;"",J168&gt;=TUAN!$C$3,J168&lt;=TUAN!$C$3+6),MAX(AB$5:AB167)+1,"")</f>
        <v/>
      </c>
    </row>
    <row r="169" customFormat="false" ht="15" hidden="false" customHeight="false" outlineLevel="0" collapsed="false">
      <c r="A169" s="9" t="str">
        <f aca="false">IF(C169="","","CV"&amp;TEXT(ROW()-5,"000"))</f>
        <v/>
      </c>
      <c r="B169" s="10"/>
      <c r="C169" s="11"/>
      <c r="D169" s="12"/>
      <c r="E169" s="12"/>
      <c r="F169" s="12"/>
      <c r="G169" s="12"/>
      <c r="H169" s="12"/>
      <c r="I169" s="12"/>
      <c r="J169" s="10"/>
      <c r="K169" s="12"/>
      <c r="L169" s="10"/>
      <c r="M169" s="12"/>
      <c r="N169" s="9" t="str">
        <f aca="false">IF(C169="","",IF(AND(H169="Có",I169="Có"),"1. Làm ngay",IF(H169="Có","2. Lên lịch",IF(I169="Có","3. Giao lại","4. Để sau"))))</f>
        <v/>
      </c>
      <c r="O169" s="9" t="str">
        <f aca="true">IF(OR(C169="",J169="",K169="Hoàn thành"),"",J169-TODAY())</f>
        <v/>
      </c>
      <c r="P169" s="9" t="str">
        <f aca="true">IF(C169="","",IF(K169="Hoàn thành",IF(OR(L169="",J169=""),"Xong (thiếu ngày)",IF(L169&lt;=J169,"Xong đúng hạn","Xong trễ")),IF(J169="","Chưa có hạn",IF(J169&lt;TODAY(),"Quá hạn",IF(J169=TODAY(),"Đến hạn hôm nay",IF(J169-TODAY()&lt;=3,"Sắp đến hạn","Trong hạn"))))))</f>
        <v/>
      </c>
      <c r="Q169" s="9" t="str">
        <f aca="false">IF(OR(C169="",J169=""),"",WEEKNUM(J169,21))</f>
        <v/>
      </c>
      <c r="R169" s="2"/>
      <c r="S169" s="9" t="str">
        <f aca="true">IF(AND(C169&lt;&gt;"",K169&lt;&gt;"Hoàn thành",J169&lt;&gt;"",J169&lt;=TODAY()),MAX(S$5:S168)+1,"")</f>
        <v/>
      </c>
      <c r="T169" s="9" t="str">
        <f aca="false">IF(AND(C169&lt;&gt;"",IF(K169="","Chưa làm",K169)="Chưa làm"),MAX(T$5:T168)+1,"")</f>
        <v/>
      </c>
      <c r="U169" s="9" t="str">
        <f aca="false">IF(AND(C169&lt;&gt;"",IF(K169="","Chưa làm",K169)="Đang làm"),MAX(U$5:U168)+1,"")</f>
        <v/>
      </c>
      <c r="V169" s="9" t="str">
        <f aca="false">IF(AND(C169&lt;&gt;"",IF(K169="","Chưa làm",K169)="Chờ duyệt"),MAX(V$5:V168)+1,"")</f>
        <v/>
      </c>
      <c r="W169" s="9" t="str">
        <f aca="false">IF(AND(C169&lt;&gt;"",IF(K169="","Chưa làm",K169)="Hoàn thành"),MAX(W$5:W168)+1,"")</f>
        <v/>
      </c>
      <c r="X169" s="9" t="str">
        <f aca="false">IF(AND(C169&lt;&gt;"",K169&lt;&gt;"Hoàn thành",N169="1. Làm ngay"),MAX(X$5:X168)+1,"")</f>
        <v/>
      </c>
      <c r="Y169" s="9" t="str">
        <f aca="false">IF(AND(C169&lt;&gt;"",K169&lt;&gt;"Hoàn thành",N169="2. Lên lịch"),MAX(Y$5:Y168)+1,"")</f>
        <v/>
      </c>
      <c r="Z169" s="9" t="str">
        <f aca="false">IF(AND(C169&lt;&gt;"",K169&lt;&gt;"Hoàn thành",N169="3. Giao lại"),MAX(Z$5:Z168)+1,"")</f>
        <v/>
      </c>
      <c r="AA169" s="9" t="str">
        <f aca="false">IF(AND(C169&lt;&gt;"",K169&lt;&gt;"Hoàn thành",N169="4. Để sau"),MAX(AA$5:AA168)+1,"")</f>
        <v/>
      </c>
      <c r="AB169" s="9" t="str">
        <f aca="false">IF(AND(C169&lt;&gt;"",J169&lt;&gt;"",J169&gt;=TUAN!$C$3,J169&lt;=TUAN!$C$3+6),MAX(AB$5:AB168)+1,"")</f>
        <v/>
      </c>
    </row>
    <row r="170" customFormat="false" ht="15" hidden="false" customHeight="false" outlineLevel="0" collapsed="false">
      <c r="A170" s="9" t="str">
        <f aca="false">IF(C170="","","CV"&amp;TEXT(ROW()-5,"000"))</f>
        <v/>
      </c>
      <c r="B170" s="10"/>
      <c r="C170" s="11"/>
      <c r="D170" s="12"/>
      <c r="E170" s="12"/>
      <c r="F170" s="12"/>
      <c r="G170" s="12"/>
      <c r="H170" s="12"/>
      <c r="I170" s="12"/>
      <c r="J170" s="10"/>
      <c r="K170" s="12"/>
      <c r="L170" s="10"/>
      <c r="M170" s="12"/>
      <c r="N170" s="9" t="str">
        <f aca="false">IF(C170="","",IF(AND(H170="Có",I170="Có"),"1. Làm ngay",IF(H170="Có","2. Lên lịch",IF(I170="Có","3. Giao lại","4. Để sau"))))</f>
        <v/>
      </c>
      <c r="O170" s="9" t="str">
        <f aca="true">IF(OR(C170="",J170="",K170="Hoàn thành"),"",J170-TODAY())</f>
        <v/>
      </c>
      <c r="P170" s="9" t="str">
        <f aca="true">IF(C170="","",IF(K170="Hoàn thành",IF(OR(L170="",J170=""),"Xong (thiếu ngày)",IF(L170&lt;=J170,"Xong đúng hạn","Xong trễ")),IF(J170="","Chưa có hạn",IF(J170&lt;TODAY(),"Quá hạn",IF(J170=TODAY(),"Đến hạn hôm nay",IF(J170-TODAY()&lt;=3,"Sắp đến hạn","Trong hạn"))))))</f>
        <v/>
      </c>
      <c r="Q170" s="9" t="str">
        <f aca="false">IF(OR(C170="",J170=""),"",WEEKNUM(J170,21))</f>
        <v/>
      </c>
      <c r="R170" s="2"/>
      <c r="S170" s="9" t="str">
        <f aca="true">IF(AND(C170&lt;&gt;"",K170&lt;&gt;"Hoàn thành",J170&lt;&gt;"",J170&lt;=TODAY()),MAX(S$5:S169)+1,"")</f>
        <v/>
      </c>
      <c r="T170" s="9" t="str">
        <f aca="false">IF(AND(C170&lt;&gt;"",IF(K170="","Chưa làm",K170)="Chưa làm"),MAX(T$5:T169)+1,"")</f>
        <v/>
      </c>
      <c r="U170" s="9" t="str">
        <f aca="false">IF(AND(C170&lt;&gt;"",IF(K170="","Chưa làm",K170)="Đang làm"),MAX(U$5:U169)+1,"")</f>
        <v/>
      </c>
      <c r="V170" s="9" t="str">
        <f aca="false">IF(AND(C170&lt;&gt;"",IF(K170="","Chưa làm",K170)="Chờ duyệt"),MAX(V$5:V169)+1,"")</f>
        <v/>
      </c>
      <c r="W170" s="9" t="str">
        <f aca="false">IF(AND(C170&lt;&gt;"",IF(K170="","Chưa làm",K170)="Hoàn thành"),MAX(W$5:W169)+1,"")</f>
        <v/>
      </c>
      <c r="X170" s="9" t="str">
        <f aca="false">IF(AND(C170&lt;&gt;"",K170&lt;&gt;"Hoàn thành",N170="1. Làm ngay"),MAX(X$5:X169)+1,"")</f>
        <v/>
      </c>
      <c r="Y170" s="9" t="str">
        <f aca="false">IF(AND(C170&lt;&gt;"",K170&lt;&gt;"Hoàn thành",N170="2. Lên lịch"),MAX(Y$5:Y169)+1,"")</f>
        <v/>
      </c>
      <c r="Z170" s="9" t="str">
        <f aca="false">IF(AND(C170&lt;&gt;"",K170&lt;&gt;"Hoàn thành",N170="3. Giao lại"),MAX(Z$5:Z169)+1,"")</f>
        <v/>
      </c>
      <c r="AA170" s="9" t="str">
        <f aca="false">IF(AND(C170&lt;&gt;"",K170&lt;&gt;"Hoàn thành",N170="4. Để sau"),MAX(AA$5:AA169)+1,"")</f>
        <v/>
      </c>
      <c r="AB170" s="9" t="str">
        <f aca="false">IF(AND(C170&lt;&gt;"",J170&lt;&gt;"",J170&gt;=TUAN!$C$3,J170&lt;=TUAN!$C$3+6),MAX(AB$5:AB169)+1,"")</f>
        <v/>
      </c>
    </row>
    <row r="171" customFormat="false" ht="15" hidden="false" customHeight="false" outlineLevel="0" collapsed="false">
      <c r="A171" s="9" t="str">
        <f aca="false">IF(C171="","","CV"&amp;TEXT(ROW()-5,"000"))</f>
        <v/>
      </c>
      <c r="B171" s="10"/>
      <c r="C171" s="11"/>
      <c r="D171" s="12"/>
      <c r="E171" s="12"/>
      <c r="F171" s="12"/>
      <c r="G171" s="12"/>
      <c r="H171" s="12"/>
      <c r="I171" s="12"/>
      <c r="J171" s="10"/>
      <c r="K171" s="12"/>
      <c r="L171" s="10"/>
      <c r="M171" s="12"/>
      <c r="N171" s="9" t="str">
        <f aca="false">IF(C171="","",IF(AND(H171="Có",I171="Có"),"1. Làm ngay",IF(H171="Có","2. Lên lịch",IF(I171="Có","3. Giao lại","4. Để sau"))))</f>
        <v/>
      </c>
      <c r="O171" s="9" t="str">
        <f aca="true">IF(OR(C171="",J171="",K171="Hoàn thành"),"",J171-TODAY())</f>
        <v/>
      </c>
      <c r="P171" s="9" t="str">
        <f aca="true">IF(C171="","",IF(K171="Hoàn thành",IF(OR(L171="",J171=""),"Xong (thiếu ngày)",IF(L171&lt;=J171,"Xong đúng hạn","Xong trễ")),IF(J171="","Chưa có hạn",IF(J171&lt;TODAY(),"Quá hạn",IF(J171=TODAY(),"Đến hạn hôm nay",IF(J171-TODAY()&lt;=3,"Sắp đến hạn","Trong hạn"))))))</f>
        <v/>
      </c>
      <c r="Q171" s="9" t="str">
        <f aca="false">IF(OR(C171="",J171=""),"",WEEKNUM(J171,21))</f>
        <v/>
      </c>
      <c r="R171" s="2"/>
      <c r="S171" s="9" t="str">
        <f aca="true">IF(AND(C171&lt;&gt;"",K171&lt;&gt;"Hoàn thành",J171&lt;&gt;"",J171&lt;=TODAY()),MAX(S$5:S170)+1,"")</f>
        <v/>
      </c>
      <c r="T171" s="9" t="str">
        <f aca="false">IF(AND(C171&lt;&gt;"",IF(K171="","Chưa làm",K171)="Chưa làm"),MAX(T$5:T170)+1,"")</f>
        <v/>
      </c>
      <c r="U171" s="9" t="str">
        <f aca="false">IF(AND(C171&lt;&gt;"",IF(K171="","Chưa làm",K171)="Đang làm"),MAX(U$5:U170)+1,"")</f>
        <v/>
      </c>
      <c r="V171" s="9" t="str">
        <f aca="false">IF(AND(C171&lt;&gt;"",IF(K171="","Chưa làm",K171)="Chờ duyệt"),MAX(V$5:V170)+1,"")</f>
        <v/>
      </c>
      <c r="W171" s="9" t="str">
        <f aca="false">IF(AND(C171&lt;&gt;"",IF(K171="","Chưa làm",K171)="Hoàn thành"),MAX(W$5:W170)+1,"")</f>
        <v/>
      </c>
      <c r="X171" s="9" t="str">
        <f aca="false">IF(AND(C171&lt;&gt;"",K171&lt;&gt;"Hoàn thành",N171="1. Làm ngay"),MAX(X$5:X170)+1,"")</f>
        <v/>
      </c>
      <c r="Y171" s="9" t="str">
        <f aca="false">IF(AND(C171&lt;&gt;"",K171&lt;&gt;"Hoàn thành",N171="2. Lên lịch"),MAX(Y$5:Y170)+1,"")</f>
        <v/>
      </c>
      <c r="Z171" s="9" t="str">
        <f aca="false">IF(AND(C171&lt;&gt;"",K171&lt;&gt;"Hoàn thành",N171="3. Giao lại"),MAX(Z$5:Z170)+1,"")</f>
        <v/>
      </c>
      <c r="AA171" s="9" t="str">
        <f aca="false">IF(AND(C171&lt;&gt;"",K171&lt;&gt;"Hoàn thành",N171="4. Để sau"),MAX(AA$5:AA170)+1,"")</f>
        <v/>
      </c>
      <c r="AB171" s="9" t="str">
        <f aca="false">IF(AND(C171&lt;&gt;"",J171&lt;&gt;"",J171&gt;=TUAN!$C$3,J171&lt;=TUAN!$C$3+6),MAX(AB$5:AB170)+1,"")</f>
        <v/>
      </c>
    </row>
    <row r="172" customFormat="false" ht="15" hidden="false" customHeight="false" outlineLevel="0" collapsed="false">
      <c r="A172" s="9" t="str">
        <f aca="false">IF(C172="","","CV"&amp;TEXT(ROW()-5,"000"))</f>
        <v/>
      </c>
      <c r="B172" s="10"/>
      <c r="C172" s="11"/>
      <c r="D172" s="12"/>
      <c r="E172" s="12"/>
      <c r="F172" s="12"/>
      <c r="G172" s="12"/>
      <c r="H172" s="12"/>
      <c r="I172" s="12"/>
      <c r="J172" s="10"/>
      <c r="K172" s="12"/>
      <c r="L172" s="10"/>
      <c r="M172" s="12"/>
      <c r="N172" s="9" t="str">
        <f aca="false">IF(C172="","",IF(AND(H172="Có",I172="Có"),"1. Làm ngay",IF(H172="Có","2. Lên lịch",IF(I172="Có","3. Giao lại","4. Để sau"))))</f>
        <v/>
      </c>
      <c r="O172" s="9" t="str">
        <f aca="true">IF(OR(C172="",J172="",K172="Hoàn thành"),"",J172-TODAY())</f>
        <v/>
      </c>
      <c r="P172" s="9" t="str">
        <f aca="true">IF(C172="","",IF(K172="Hoàn thành",IF(OR(L172="",J172=""),"Xong (thiếu ngày)",IF(L172&lt;=J172,"Xong đúng hạn","Xong trễ")),IF(J172="","Chưa có hạn",IF(J172&lt;TODAY(),"Quá hạn",IF(J172=TODAY(),"Đến hạn hôm nay",IF(J172-TODAY()&lt;=3,"Sắp đến hạn","Trong hạn"))))))</f>
        <v/>
      </c>
      <c r="Q172" s="9" t="str">
        <f aca="false">IF(OR(C172="",J172=""),"",WEEKNUM(J172,21))</f>
        <v/>
      </c>
      <c r="R172" s="2"/>
      <c r="S172" s="9" t="str">
        <f aca="true">IF(AND(C172&lt;&gt;"",K172&lt;&gt;"Hoàn thành",J172&lt;&gt;"",J172&lt;=TODAY()),MAX(S$5:S171)+1,"")</f>
        <v/>
      </c>
      <c r="T172" s="9" t="str">
        <f aca="false">IF(AND(C172&lt;&gt;"",IF(K172="","Chưa làm",K172)="Chưa làm"),MAX(T$5:T171)+1,"")</f>
        <v/>
      </c>
      <c r="U172" s="9" t="str">
        <f aca="false">IF(AND(C172&lt;&gt;"",IF(K172="","Chưa làm",K172)="Đang làm"),MAX(U$5:U171)+1,"")</f>
        <v/>
      </c>
      <c r="V172" s="9" t="str">
        <f aca="false">IF(AND(C172&lt;&gt;"",IF(K172="","Chưa làm",K172)="Chờ duyệt"),MAX(V$5:V171)+1,"")</f>
        <v/>
      </c>
      <c r="W172" s="9" t="str">
        <f aca="false">IF(AND(C172&lt;&gt;"",IF(K172="","Chưa làm",K172)="Hoàn thành"),MAX(W$5:W171)+1,"")</f>
        <v/>
      </c>
      <c r="X172" s="9" t="str">
        <f aca="false">IF(AND(C172&lt;&gt;"",K172&lt;&gt;"Hoàn thành",N172="1. Làm ngay"),MAX(X$5:X171)+1,"")</f>
        <v/>
      </c>
      <c r="Y172" s="9" t="str">
        <f aca="false">IF(AND(C172&lt;&gt;"",K172&lt;&gt;"Hoàn thành",N172="2. Lên lịch"),MAX(Y$5:Y171)+1,"")</f>
        <v/>
      </c>
      <c r="Z172" s="9" t="str">
        <f aca="false">IF(AND(C172&lt;&gt;"",K172&lt;&gt;"Hoàn thành",N172="3. Giao lại"),MAX(Z$5:Z171)+1,"")</f>
        <v/>
      </c>
      <c r="AA172" s="9" t="str">
        <f aca="false">IF(AND(C172&lt;&gt;"",K172&lt;&gt;"Hoàn thành",N172="4. Để sau"),MAX(AA$5:AA171)+1,"")</f>
        <v/>
      </c>
      <c r="AB172" s="9" t="str">
        <f aca="false">IF(AND(C172&lt;&gt;"",J172&lt;&gt;"",J172&gt;=TUAN!$C$3,J172&lt;=TUAN!$C$3+6),MAX(AB$5:AB171)+1,"")</f>
        <v/>
      </c>
    </row>
    <row r="173" customFormat="false" ht="15" hidden="false" customHeight="false" outlineLevel="0" collapsed="false">
      <c r="A173" s="9" t="str">
        <f aca="false">IF(C173="","","CV"&amp;TEXT(ROW()-5,"000"))</f>
        <v/>
      </c>
      <c r="B173" s="10"/>
      <c r="C173" s="11"/>
      <c r="D173" s="12"/>
      <c r="E173" s="12"/>
      <c r="F173" s="12"/>
      <c r="G173" s="12"/>
      <c r="H173" s="12"/>
      <c r="I173" s="12"/>
      <c r="J173" s="10"/>
      <c r="K173" s="12"/>
      <c r="L173" s="10"/>
      <c r="M173" s="12"/>
      <c r="N173" s="9" t="str">
        <f aca="false">IF(C173="","",IF(AND(H173="Có",I173="Có"),"1. Làm ngay",IF(H173="Có","2. Lên lịch",IF(I173="Có","3. Giao lại","4. Để sau"))))</f>
        <v/>
      </c>
      <c r="O173" s="9" t="str">
        <f aca="true">IF(OR(C173="",J173="",K173="Hoàn thành"),"",J173-TODAY())</f>
        <v/>
      </c>
      <c r="P173" s="9" t="str">
        <f aca="true">IF(C173="","",IF(K173="Hoàn thành",IF(OR(L173="",J173=""),"Xong (thiếu ngày)",IF(L173&lt;=J173,"Xong đúng hạn","Xong trễ")),IF(J173="","Chưa có hạn",IF(J173&lt;TODAY(),"Quá hạn",IF(J173=TODAY(),"Đến hạn hôm nay",IF(J173-TODAY()&lt;=3,"Sắp đến hạn","Trong hạn"))))))</f>
        <v/>
      </c>
      <c r="Q173" s="9" t="str">
        <f aca="false">IF(OR(C173="",J173=""),"",WEEKNUM(J173,21))</f>
        <v/>
      </c>
      <c r="R173" s="2"/>
      <c r="S173" s="9" t="str">
        <f aca="true">IF(AND(C173&lt;&gt;"",K173&lt;&gt;"Hoàn thành",J173&lt;&gt;"",J173&lt;=TODAY()),MAX(S$5:S172)+1,"")</f>
        <v/>
      </c>
      <c r="T173" s="9" t="str">
        <f aca="false">IF(AND(C173&lt;&gt;"",IF(K173="","Chưa làm",K173)="Chưa làm"),MAX(T$5:T172)+1,"")</f>
        <v/>
      </c>
      <c r="U173" s="9" t="str">
        <f aca="false">IF(AND(C173&lt;&gt;"",IF(K173="","Chưa làm",K173)="Đang làm"),MAX(U$5:U172)+1,"")</f>
        <v/>
      </c>
      <c r="V173" s="9" t="str">
        <f aca="false">IF(AND(C173&lt;&gt;"",IF(K173="","Chưa làm",K173)="Chờ duyệt"),MAX(V$5:V172)+1,"")</f>
        <v/>
      </c>
      <c r="W173" s="9" t="str">
        <f aca="false">IF(AND(C173&lt;&gt;"",IF(K173="","Chưa làm",K173)="Hoàn thành"),MAX(W$5:W172)+1,"")</f>
        <v/>
      </c>
      <c r="X173" s="9" t="str">
        <f aca="false">IF(AND(C173&lt;&gt;"",K173&lt;&gt;"Hoàn thành",N173="1. Làm ngay"),MAX(X$5:X172)+1,"")</f>
        <v/>
      </c>
      <c r="Y173" s="9" t="str">
        <f aca="false">IF(AND(C173&lt;&gt;"",K173&lt;&gt;"Hoàn thành",N173="2. Lên lịch"),MAX(Y$5:Y172)+1,"")</f>
        <v/>
      </c>
      <c r="Z173" s="9" t="str">
        <f aca="false">IF(AND(C173&lt;&gt;"",K173&lt;&gt;"Hoàn thành",N173="3. Giao lại"),MAX(Z$5:Z172)+1,"")</f>
        <v/>
      </c>
      <c r="AA173" s="9" t="str">
        <f aca="false">IF(AND(C173&lt;&gt;"",K173&lt;&gt;"Hoàn thành",N173="4. Để sau"),MAX(AA$5:AA172)+1,"")</f>
        <v/>
      </c>
      <c r="AB173" s="9" t="str">
        <f aca="false">IF(AND(C173&lt;&gt;"",J173&lt;&gt;"",J173&gt;=TUAN!$C$3,J173&lt;=TUAN!$C$3+6),MAX(AB$5:AB172)+1,"")</f>
        <v/>
      </c>
    </row>
    <row r="174" customFormat="false" ht="15" hidden="false" customHeight="false" outlineLevel="0" collapsed="false">
      <c r="A174" s="9" t="str">
        <f aca="false">IF(C174="","","CV"&amp;TEXT(ROW()-5,"000"))</f>
        <v/>
      </c>
      <c r="B174" s="10"/>
      <c r="C174" s="11"/>
      <c r="D174" s="12"/>
      <c r="E174" s="12"/>
      <c r="F174" s="12"/>
      <c r="G174" s="12"/>
      <c r="H174" s="12"/>
      <c r="I174" s="12"/>
      <c r="J174" s="10"/>
      <c r="K174" s="12"/>
      <c r="L174" s="10"/>
      <c r="M174" s="12"/>
      <c r="N174" s="9" t="str">
        <f aca="false">IF(C174="","",IF(AND(H174="Có",I174="Có"),"1. Làm ngay",IF(H174="Có","2. Lên lịch",IF(I174="Có","3. Giao lại","4. Để sau"))))</f>
        <v/>
      </c>
      <c r="O174" s="9" t="str">
        <f aca="true">IF(OR(C174="",J174="",K174="Hoàn thành"),"",J174-TODAY())</f>
        <v/>
      </c>
      <c r="P174" s="9" t="str">
        <f aca="true">IF(C174="","",IF(K174="Hoàn thành",IF(OR(L174="",J174=""),"Xong (thiếu ngày)",IF(L174&lt;=J174,"Xong đúng hạn","Xong trễ")),IF(J174="","Chưa có hạn",IF(J174&lt;TODAY(),"Quá hạn",IF(J174=TODAY(),"Đến hạn hôm nay",IF(J174-TODAY()&lt;=3,"Sắp đến hạn","Trong hạn"))))))</f>
        <v/>
      </c>
      <c r="Q174" s="9" t="str">
        <f aca="false">IF(OR(C174="",J174=""),"",WEEKNUM(J174,21))</f>
        <v/>
      </c>
      <c r="R174" s="2"/>
      <c r="S174" s="9" t="str">
        <f aca="true">IF(AND(C174&lt;&gt;"",K174&lt;&gt;"Hoàn thành",J174&lt;&gt;"",J174&lt;=TODAY()),MAX(S$5:S173)+1,"")</f>
        <v/>
      </c>
      <c r="T174" s="9" t="str">
        <f aca="false">IF(AND(C174&lt;&gt;"",IF(K174="","Chưa làm",K174)="Chưa làm"),MAX(T$5:T173)+1,"")</f>
        <v/>
      </c>
      <c r="U174" s="9" t="str">
        <f aca="false">IF(AND(C174&lt;&gt;"",IF(K174="","Chưa làm",K174)="Đang làm"),MAX(U$5:U173)+1,"")</f>
        <v/>
      </c>
      <c r="V174" s="9" t="str">
        <f aca="false">IF(AND(C174&lt;&gt;"",IF(K174="","Chưa làm",K174)="Chờ duyệt"),MAX(V$5:V173)+1,"")</f>
        <v/>
      </c>
      <c r="W174" s="9" t="str">
        <f aca="false">IF(AND(C174&lt;&gt;"",IF(K174="","Chưa làm",K174)="Hoàn thành"),MAX(W$5:W173)+1,"")</f>
        <v/>
      </c>
      <c r="X174" s="9" t="str">
        <f aca="false">IF(AND(C174&lt;&gt;"",K174&lt;&gt;"Hoàn thành",N174="1. Làm ngay"),MAX(X$5:X173)+1,"")</f>
        <v/>
      </c>
      <c r="Y174" s="9" t="str">
        <f aca="false">IF(AND(C174&lt;&gt;"",K174&lt;&gt;"Hoàn thành",N174="2. Lên lịch"),MAX(Y$5:Y173)+1,"")</f>
        <v/>
      </c>
      <c r="Z174" s="9" t="str">
        <f aca="false">IF(AND(C174&lt;&gt;"",K174&lt;&gt;"Hoàn thành",N174="3. Giao lại"),MAX(Z$5:Z173)+1,"")</f>
        <v/>
      </c>
      <c r="AA174" s="9" t="str">
        <f aca="false">IF(AND(C174&lt;&gt;"",K174&lt;&gt;"Hoàn thành",N174="4. Để sau"),MAX(AA$5:AA173)+1,"")</f>
        <v/>
      </c>
      <c r="AB174" s="9" t="str">
        <f aca="false">IF(AND(C174&lt;&gt;"",J174&lt;&gt;"",J174&gt;=TUAN!$C$3,J174&lt;=TUAN!$C$3+6),MAX(AB$5:AB173)+1,"")</f>
        <v/>
      </c>
    </row>
    <row r="175" customFormat="false" ht="15" hidden="false" customHeight="false" outlineLevel="0" collapsed="false">
      <c r="A175" s="9" t="str">
        <f aca="false">IF(C175="","","CV"&amp;TEXT(ROW()-5,"000"))</f>
        <v/>
      </c>
      <c r="B175" s="10"/>
      <c r="C175" s="11"/>
      <c r="D175" s="12"/>
      <c r="E175" s="12"/>
      <c r="F175" s="12"/>
      <c r="G175" s="12"/>
      <c r="H175" s="12"/>
      <c r="I175" s="12"/>
      <c r="J175" s="10"/>
      <c r="K175" s="12"/>
      <c r="L175" s="10"/>
      <c r="M175" s="12"/>
      <c r="N175" s="9" t="str">
        <f aca="false">IF(C175="","",IF(AND(H175="Có",I175="Có"),"1. Làm ngay",IF(H175="Có","2. Lên lịch",IF(I175="Có","3. Giao lại","4. Để sau"))))</f>
        <v/>
      </c>
      <c r="O175" s="9" t="str">
        <f aca="true">IF(OR(C175="",J175="",K175="Hoàn thành"),"",J175-TODAY())</f>
        <v/>
      </c>
      <c r="P175" s="9" t="str">
        <f aca="true">IF(C175="","",IF(K175="Hoàn thành",IF(OR(L175="",J175=""),"Xong (thiếu ngày)",IF(L175&lt;=J175,"Xong đúng hạn","Xong trễ")),IF(J175="","Chưa có hạn",IF(J175&lt;TODAY(),"Quá hạn",IF(J175=TODAY(),"Đến hạn hôm nay",IF(J175-TODAY()&lt;=3,"Sắp đến hạn","Trong hạn"))))))</f>
        <v/>
      </c>
      <c r="Q175" s="9" t="str">
        <f aca="false">IF(OR(C175="",J175=""),"",WEEKNUM(J175,21))</f>
        <v/>
      </c>
      <c r="R175" s="2"/>
      <c r="S175" s="9" t="str">
        <f aca="true">IF(AND(C175&lt;&gt;"",K175&lt;&gt;"Hoàn thành",J175&lt;&gt;"",J175&lt;=TODAY()),MAX(S$5:S174)+1,"")</f>
        <v/>
      </c>
      <c r="T175" s="9" t="str">
        <f aca="false">IF(AND(C175&lt;&gt;"",IF(K175="","Chưa làm",K175)="Chưa làm"),MAX(T$5:T174)+1,"")</f>
        <v/>
      </c>
      <c r="U175" s="9" t="str">
        <f aca="false">IF(AND(C175&lt;&gt;"",IF(K175="","Chưa làm",K175)="Đang làm"),MAX(U$5:U174)+1,"")</f>
        <v/>
      </c>
      <c r="V175" s="9" t="str">
        <f aca="false">IF(AND(C175&lt;&gt;"",IF(K175="","Chưa làm",K175)="Chờ duyệt"),MAX(V$5:V174)+1,"")</f>
        <v/>
      </c>
      <c r="W175" s="9" t="str">
        <f aca="false">IF(AND(C175&lt;&gt;"",IF(K175="","Chưa làm",K175)="Hoàn thành"),MAX(W$5:W174)+1,"")</f>
        <v/>
      </c>
      <c r="X175" s="9" t="str">
        <f aca="false">IF(AND(C175&lt;&gt;"",K175&lt;&gt;"Hoàn thành",N175="1. Làm ngay"),MAX(X$5:X174)+1,"")</f>
        <v/>
      </c>
      <c r="Y175" s="9" t="str">
        <f aca="false">IF(AND(C175&lt;&gt;"",K175&lt;&gt;"Hoàn thành",N175="2. Lên lịch"),MAX(Y$5:Y174)+1,"")</f>
        <v/>
      </c>
      <c r="Z175" s="9" t="str">
        <f aca="false">IF(AND(C175&lt;&gt;"",K175&lt;&gt;"Hoàn thành",N175="3. Giao lại"),MAX(Z$5:Z174)+1,"")</f>
        <v/>
      </c>
      <c r="AA175" s="9" t="str">
        <f aca="false">IF(AND(C175&lt;&gt;"",K175&lt;&gt;"Hoàn thành",N175="4. Để sau"),MAX(AA$5:AA174)+1,"")</f>
        <v/>
      </c>
      <c r="AB175" s="9" t="str">
        <f aca="false">IF(AND(C175&lt;&gt;"",J175&lt;&gt;"",J175&gt;=TUAN!$C$3,J175&lt;=TUAN!$C$3+6),MAX(AB$5:AB174)+1,"")</f>
        <v/>
      </c>
    </row>
    <row r="176" customFormat="false" ht="15" hidden="false" customHeight="false" outlineLevel="0" collapsed="false">
      <c r="A176" s="9" t="str">
        <f aca="false">IF(C176="","","CV"&amp;TEXT(ROW()-5,"000"))</f>
        <v/>
      </c>
      <c r="B176" s="10"/>
      <c r="C176" s="11"/>
      <c r="D176" s="12"/>
      <c r="E176" s="12"/>
      <c r="F176" s="12"/>
      <c r="G176" s="12"/>
      <c r="H176" s="12"/>
      <c r="I176" s="12"/>
      <c r="J176" s="10"/>
      <c r="K176" s="12"/>
      <c r="L176" s="10"/>
      <c r="M176" s="12"/>
      <c r="N176" s="9" t="str">
        <f aca="false">IF(C176="","",IF(AND(H176="Có",I176="Có"),"1. Làm ngay",IF(H176="Có","2. Lên lịch",IF(I176="Có","3. Giao lại","4. Để sau"))))</f>
        <v/>
      </c>
      <c r="O176" s="9" t="str">
        <f aca="true">IF(OR(C176="",J176="",K176="Hoàn thành"),"",J176-TODAY())</f>
        <v/>
      </c>
      <c r="P176" s="9" t="str">
        <f aca="true">IF(C176="","",IF(K176="Hoàn thành",IF(OR(L176="",J176=""),"Xong (thiếu ngày)",IF(L176&lt;=J176,"Xong đúng hạn","Xong trễ")),IF(J176="","Chưa có hạn",IF(J176&lt;TODAY(),"Quá hạn",IF(J176=TODAY(),"Đến hạn hôm nay",IF(J176-TODAY()&lt;=3,"Sắp đến hạn","Trong hạn"))))))</f>
        <v/>
      </c>
      <c r="Q176" s="9" t="str">
        <f aca="false">IF(OR(C176="",J176=""),"",WEEKNUM(J176,21))</f>
        <v/>
      </c>
      <c r="R176" s="2"/>
      <c r="S176" s="9" t="str">
        <f aca="true">IF(AND(C176&lt;&gt;"",K176&lt;&gt;"Hoàn thành",J176&lt;&gt;"",J176&lt;=TODAY()),MAX(S$5:S175)+1,"")</f>
        <v/>
      </c>
      <c r="T176" s="9" t="str">
        <f aca="false">IF(AND(C176&lt;&gt;"",IF(K176="","Chưa làm",K176)="Chưa làm"),MAX(T$5:T175)+1,"")</f>
        <v/>
      </c>
      <c r="U176" s="9" t="str">
        <f aca="false">IF(AND(C176&lt;&gt;"",IF(K176="","Chưa làm",K176)="Đang làm"),MAX(U$5:U175)+1,"")</f>
        <v/>
      </c>
      <c r="V176" s="9" t="str">
        <f aca="false">IF(AND(C176&lt;&gt;"",IF(K176="","Chưa làm",K176)="Chờ duyệt"),MAX(V$5:V175)+1,"")</f>
        <v/>
      </c>
      <c r="W176" s="9" t="str">
        <f aca="false">IF(AND(C176&lt;&gt;"",IF(K176="","Chưa làm",K176)="Hoàn thành"),MAX(W$5:W175)+1,"")</f>
        <v/>
      </c>
      <c r="X176" s="9" t="str">
        <f aca="false">IF(AND(C176&lt;&gt;"",K176&lt;&gt;"Hoàn thành",N176="1. Làm ngay"),MAX(X$5:X175)+1,"")</f>
        <v/>
      </c>
      <c r="Y176" s="9" t="str">
        <f aca="false">IF(AND(C176&lt;&gt;"",K176&lt;&gt;"Hoàn thành",N176="2. Lên lịch"),MAX(Y$5:Y175)+1,"")</f>
        <v/>
      </c>
      <c r="Z176" s="9" t="str">
        <f aca="false">IF(AND(C176&lt;&gt;"",K176&lt;&gt;"Hoàn thành",N176="3. Giao lại"),MAX(Z$5:Z175)+1,"")</f>
        <v/>
      </c>
      <c r="AA176" s="9" t="str">
        <f aca="false">IF(AND(C176&lt;&gt;"",K176&lt;&gt;"Hoàn thành",N176="4. Để sau"),MAX(AA$5:AA175)+1,"")</f>
        <v/>
      </c>
      <c r="AB176" s="9" t="str">
        <f aca="false">IF(AND(C176&lt;&gt;"",J176&lt;&gt;"",J176&gt;=TUAN!$C$3,J176&lt;=TUAN!$C$3+6),MAX(AB$5:AB175)+1,"")</f>
        <v/>
      </c>
    </row>
    <row r="177" customFormat="false" ht="15" hidden="false" customHeight="false" outlineLevel="0" collapsed="false">
      <c r="A177" s="9" t="str">
        <f aca="false">IF(C177="","","CV"&amp;TEXT(ROW()-5,"000"))</f>
        <v/>
      </c>
      <c r="B177" s="10"/>
      <c r="C177" s="11"/>
      <c r="D177" s="12"/>
      <c r="E177" s="12"/>
      <c r="F177" s="12"/>
      <c r="G177" s="12"/>
      <c r="H177" s="12"/>
      <c r="I177" s="12"/>
      <c r="J177" s="10"/>
      <c r="K177" s="12"/>
      <c r="L177" s="10"/>
      <c r="M177" s="12"/>
      <c r="N177" s="9" t="str">
        <f aca="false">IF(C177="","",IF(AND(H177="Có",I177="Có"),"1. Làm ngay",IF(H177="Có","2. Lên lịch",IF(I177="Có","3. Giao lại","4. Để sau"))))</f>
        <v/>
      </c>
      <c r="O177" s="9" t="str">
        <f aca="true">IF(OR(C177="",J177="",K177="Hoàn thành"),"",J177-TODAY())</f>
        <v/>
      </c>
      <c r="P177" s="9" t="str">
        <f aca="true">IF(C177="","",IF(K177="Hoàn thành",IF(OR(L177="",J177=""),"Xong (thiếu ngày)",IF(L177&lt;=J177,"Xong đúng hạn","Xong trễ")),IF(J177="","Chưa có hạn",IF(J177&lt;TODAY(),"Quá hạn",IF(J177=TODAY(),"Đến hạn hôm nay",IF(J177-TODAY()&lt;=3,"Sắp đến hạn","Trong hạn"))))))</f>
        <v/>
      </c>
      <c r="Q177" s="9" t="str">
        <f aca="false">IF(OR(C177="",J177=""),"",WEEKNUM(J177,21))</f>
        <v/>
      </c>
      <c r="R177" s="2"/>
      <c r="S177" s="9" t="str">
        <f aca="true">IF(AND(C177&lt;&gt;"",K177&lt;&gt;"Hoàn thành",J177&lt;&gt;"",J177&lt;=TODAY()),MAX(S$5:S176)+1,"")</f>
        <v/>
      </c>
      <c r="T177" s="9" t="str">
        <f aca="false">IF(AND(C177&lt;&gt;"",IF(K177="","Chưa làm",K177)="Chưa làm"),MAX(T$5:T176)+1,"")</f>
        <v/>
      </c>
      <c r="U177" s="9" t="str">
        <f aca="false">IF(AND(C177&lt;&gt;"",IF(K177="","Chưa làm",K177)="Đang làm"),MAX(U$5:U176)+1,"")</f>
        <v/>
      </c>
      <c r="V177" s="9" t="str">
        <f aca="false">IF(AND(C177&lt;&gt;"",IF(K177="","Chưa làm",K177)="Chờ duyệt"),MAX(V$5:V176)+1,"")</f>
        <v/>
      </c>
      <c r="W177" s="9" t="str">
        <f aca="false">IF(AND(C177&lt;&gt;"",IF(K177="","Chưa làm",K177)="Hoàn thành"),MAX(W$5:W176)+1,"")</f>
        <v/>
      </c>
      <c r="X177" s="9" t="str">
        <f aca="false">IF(AND(C177&lt;&gt;"",K177&lt;&gt;"Hoàn thành",N177="1. Làm ngay"),MAX(X$5:X176)+1,"")</f>
        <v/>
      </c>
      <c r="Y177" s="9" t="str">
        <f aca="false">IF(AND(C177&lt;&gt;"",K177&lt;&gt;"Hoàn thành",N177="2. Lên lịch"),MAX(Y$5:Y176)+1,"")</f>
        <v/>
      </c>
      <c r="Z177" s="9" t="str">
        <f aca="false">IF(AND(C177&lt;&gt;"",K177&lt;&gt;"Hoàn thành",N177="3. Giao lại"),MAX(Z$5:Z176)+1,"")</f>
        <v/>
      </c>
      <c r="AA177" s="9" t="str">
        <f aca="false">IF(AND(C177&lt;&gt;"",K177&lt;&gt;"Hoàn thành",N177="4. Để sau"),MAX(AA$5:AA176)+1,"")</f>
        <v/>
      </c>
      <c r="AB177" s="9" t="str">
        <f aca="false">IF(AND(C177&lt;&gt;"",J177&lt;&gt;"",J177&gt;=TUAN!$C$3,J177&lt;=TUAN!$C$3+6),MAX(AB$5:AB176)+1,"")</f>
        <v/>
      </c>
    </row>
    <row r="178" customFormat="false" ht="15" hidden="false" customHeight="false" outlineLevel="0" collapsed="false">
      <c r="A178" s="9" t="str">
        <f aca="false">IF(C178="","","CV"&amp;TEXT(ROW()-5,"000"))</f>
        <v/>
      </c>
      <c r="B178" s="10"/>
      <c r="C178" s="11"/>
      <c r="D178" s="12"/>
      <c r="E178" s="12"/>
      <c r="F178" s="12"/>
      <c r="G178" s="12"/>
      <c r="H178" s="12"/>
      <c r="I178" s="12"/>
      <c r="J178" s="10"/>
      <c r="K178" s="12"/>
      <c r="L178" s="10"/>
      <c r="M178" s="12"/>
      <c r="N178" s="9" t="str">
        <f aca="false">IF(C178="","",IF(AND(H178="Có",I178="Có"),"1. Làm ngay",IF(H178="Có","2. Lên lịch",IF(I178="Có","3. Giao lại","4. Để sau"))))</f>
        <v/>
      </c>
      <c r="O178" s="9" t="str">
        <f aca="true">IF(OR(C178="",J178="",K178="Hoàn thành"),"",J178-TODAY())</f>
        <v/>
      </c>
      <c r="P178" s="9" t="str">
        <f aca="true">IF(C178="","",IF(K178="Hoàn thành",IF(OR(L178="",J178=""),"Xong (thiếu ngày)",IF(L178&lt;=J178,"Xong đúng hạn","Xong trễ")),IF(J178="","Chưa có hạn",IF(J178&lt;TODAY(),"Quá hạn",IF(J178=TODAY(),"Đến hạn hôm nay",IF(J178-TODAY()&lt;=3,"Sắp đến hạn","Trong hạn"))))))</f>
        <v/>
      </c>
      <c r="Q178" s="9" t="str">
        <f aca="false">IF(OR(C178="",J178=""),"",WEEKNUM(J178,21))</f>
        <v/>
      </c>
      <c r="R178" s="2"/>
      <c r="S178" s="9" t="str">
        <f aca="true">IF(AND(C178&lt;&gt;"",K178&lt;&gt;"Hoàn thành",J178&lt;&gt;"",J178&lt;=TODAY()),MAX(S$5:S177)+1,"")</f>
        <v/>
      </c>
      <c r="T178" s="9" t="str">
        <f aca="false">IF(AND(C178&lt;&gt;"",IF(K178="","Chưa làm",K178)="Chưa làm"),MAX(T$5:T177)+1,"")</f>
        <v/>
      </c>
      <c r="U178" s="9" t="str">
        <f aca="false">IF(AND(C178&lt;&gt;"",IF(K178="","Chưa làm",K178)="Đang làm"),MAX(U$5:U177)+1,"")</f>
        <v/>
      </c>
      <c r="V178" s="9" t="str">
        <f aca="false">IF(AND(C178&lt;&gt;"",IF(K178="","Chưa làm",K178)="Chờ duyệt"),MAX(V$5:V177)+1,"")</f>
        <v/>
      </c>
      <c r="W178" s="9" t="str">
        <f aca="false">IF(AND(C178&lt;&gt;"",IF(K178="","Chưa làm",K178)="Hoàn thành"),MAX(W$5:W177)+1,"")</f>
        <v/>
      </c>
      <c r="X178" s="9" t="str">
        <f aca="false">IF(AND(C178&lt;&gt;"",K178&lt;&gt;"Hoàn thành",N178="1. Làm ngay"),MAX(X$5:X177)+1,"")</f>
        <v/>
      </c>
      <c r="Y178" s="9" t="str">
        <f aca="false">IF(AND(C178&lt;&gt;"",K178&lt;&gt;"Hoàn thành",N178="2. Lên lịch"),MAX(Y$5:Y177)+1,"")</f>
        <v/>
      </c>
      <c r="Z178" s="9" t="str">
        <f aca="false">IF(AND(C178&lt;&gt;"",K178&lt;&gt;"Hoàn thành",N178="3. Giao lại"),MAX(Z$5:Z177)+1,"")</f>
        <v/>
      </c>
      <c r="AA178" s="9" t="str">
        <f aca="false">IF(AND(C178&lt;&gt;"",K178&lt;&gt;"Hoàn thành",N178="4. Để sau"),MAX(AA$5:AA177)+1,"")</f>
        <v/>
      </c>
      <c r="AB178" s="9" t="str">
        <f aca="false">IF(AND(C178&lt;&gt;"",J178&lt;&gt;"",J178&gt;=TUAN!$C$3,J178&lt;=TUAN!$C$3+6),MAX(AB$5:AB177)+1,"")</f>
        <v/>
      </c>
    </row>
    <row r="179" customFormat="false" ht="15" hidden="false" customHeight="false" outlineLevel="0" collapsed="false">
      <c r="A179" s="9" t="str">
        <f aca="false">IF(C179="","","CV"&amp;TEXT(ROW()-5,"000"))</f>
        <v/>
      </c>
      <c r="B179" s="10"/>
      <c r="C179" s="11"/>
      <c r="D179" s="12"/>
      <c r="E179" s="12"/>
      <c r="F179" s="12"/>
      <c r="G179" s="12"/>
      <c r="H179" s="12"/>
      <c r="I179" s="12"/>
      <c r="J179" s="10"/>
      <c r="K179" s="12"/>
      <c r="L179" s="10"/>
      <c r="M179" s="12"/>
      <c r="N179" s="9" t="str">
        <f aca="false">IF(C179="","",IF(AND(H179="Có",I179="Có"),"1. Làm ngay",IF(H179="Có","2. Lên lịch",IF(I179="Có","3. Giao lại","4. Để sau"))))</f>
        <v/>
      </c>
      <c r="O179" s="9" t="str">
        <f aca="true">IF(OR(C179="",J179="",K179="Hoàn thành"),"",J179-TODAY())</f>
        <v/>
      </c>
      <c r="P179" s="9" t="str">
        <f aca="true">IF(C179="","",IF(K179="Hoàn thành",IF(OR(L179="",J179=""),"Xong (thiếu ngày)",IF(L179&lt;=J179,"Xong đúng hạn","Xong trễ")),IF(J179="","Chưa có hạn",IF(J179&lt;TODAY(),"Quá hạn",IF(J179=TODAY(),"Đến hạn hôm nay",IF(J179-TODAY()&lt;=3,"Sắp đến hạn","Trong hạn"))))))</f>
        <v/>
      </c>
      <c r="Q179" s="9" t="str">
        <f aca="false">IF(OR(C179="",J179=""),"",WEEKNUM(J179,21))</f>
        <v/>
      </c>
      <c r="R179" s="2"/>
      <c r="S179" s="9" t="str">
        <f aca="true">IF(AND(C179&lt;&gt;"",K179&lt;&gt;"Hoàn thành",J179&lt;&gt;"",J179&lt;=TODAY()),MAX(S$5:S178)+1,"")</f>
        <v/>
      </c>
      <c r="T179" s="9" t="str">
        <f aca="false">IF(AND(C179&lt;&gt;"",IF(K179="","Chưa làm",K179)="Chưa làm"),MAX(T$5:T178)+1,"")</f>
        <v/>
      </c>
      <c r="U179" s="9" t="str">
        <f aca="false">IF(AND(C179&lt;&gt;"",IF(K179="","Chưa làm",K179)="Đang làm"),MAX(U$5:U178)+1,"")</f>
        <v/>
      </c>
      <c r="V179" s="9" t="str">
        <f aca="false">IF(AND(C179&lt;&gt;"",IF(K179="","Chưa làm",K179)="Chờ duyệt"),MAX(V$5:V178)+1,"")</f>
        <v/>
      </c>
      <c r="W179" s="9" t="str">
        <f aca="false">IF(AND(C179&lt;&gt;"",IF(K179="","Chưa làm",K179)="Hoàn thành"),MAX(W$5:W178)+1,"")</f>
        <v/>
      </c>
      <c r="X179" s="9" t="str">
        <f aca="false">IF(AND(C179&lt;&gt;"",K179&lt;&gt;"Hoàn thành",N179="1. Làm ngay"),MAX(X$5:X178)+1,"")</f>
        <v/>
      </c>
      <c r="Y179" s="9" t="str">
        <f aca="false">IF(AND(C179&lt;&gt;"",K179&lt;&gt;"Hoàn thành",N179="2. Lên lịch"),MAX(Y$5:Y178)+1,"")</f>
        <v/>
      </c>
      <c r="Z179" s="9" t="str">
        <f aca="false">IF(AND(C179&lt;&gt;"",K179&lt;&gt;"Hoàn thành",N179="3. Giao lại"),MAX(Z$5:Z178)+1,"")</f>
        <v/>
      </c>
      <c r="AA179" s="9" t="str">
        <f aca="false">IF(AND(C179&lt;&gt;"",K179&lt;&gt;"Hoàn thành",N179="4. Để sau"),MAX(AA$5:AA178)+1,"")</f>
        <v/>
      </c>
      <c r="AB179" s="9" t="str">
        <f aca="false">IF(AND(C179&lt;&gt;"",J179&lt;&gt;"",J179&gt;=TUAN!$C$3,J179&lt;=TUAN!$C$3+6),MAX(AB$5:AB178)+1,"")</f>
        <v/>
      </c>
    </row>
    <row r="180" customFormat="false" ht="15" hidden="false" customHeight="false" outlineLevel="0" collapsed="false">
      <c r="A180" s="9" t="str">
        <f aca="false">IF(C180="","","CV"&amp;TEXT(ROW()-5,"000"))</f>
        <v/>
      </c>
      <c r="B180" s="10"/>
      <c r="C180" s="11"/>
      <c r="D180" s="12"/>
      <c r="E180" s="12"/>
      <c r="F180" s="12"/>
      <c r="G180" s="12"/>
      <c r="H180" s="12"/>
      <c r="I180" s="12"/>
      <c r="J180" s="10"/>
      <c r="K180" s="12"/>
      <c r="L180" s="10"/>
      <c r="M180" s="12"/>
      <c r="N180" s="9" t="str">
        <f aca="false">IF(C180="","",IF(AND(H180="Có",I180="Có"),"1. Làm ngay",IF(H180="Có","2. Lên lịch",IF(I180="Có","3. Giao lại","4. Để sau"))))</f>
        <v/>
      </c>
      <c r="O180" s="9" t="str">
        <f aca="true">IF(OR(C180="",J180="",K180="Hoàn thành"),"",J180-TODAY())</f>
        <v/>
      </c>
      <c r="P180" s="9" t="str">
        <f aca="true">IF(C180="","",IF(K180="Hoàn thành",IF(OR(L180="",J180=""),"Xong (thiếu ngày)",IF(L180&lt;=J180,"Xong đúng hạn","Xong trễ")),IF(J180="","Chưa có hạn",IF(J180&lt;TODAY(),"Quá hạn",IF(J180=TODAY(),"Đến hạn hôm nay",IF(J180-TODAY()&lt;=3,"Sắp đến hạn","Trong hạn"))))))</f>
        <v/>
      </c>
      <c r="Q180" s="9" t="str">
        <f aca="false">IF(OR(C180="",J180=""),"",WEEKNUM(J180,21))</f>
        <v/>
      </c>
      <c r="R180" s="2"/>
      <c r="S180" s="9" t="str">
        <f aca="true">IF(AND(C180&lt;&gt;"",K180&lt;&gt;"Hoàn thành",J180&lt;&gt;"",J180&lt;=TODAY()),MAX(S$5:S179)+1,"")</f>
        <v/>
      </c>
      <c r="T180" s="9" t="str">
        <f aca="false">IF(AND(C180&lt;&gt;"",IF(K180="","Chưa làm",K180)="Chưa làm"),MAX(T$5:T179)+1,"")</f>
        <v/>
      </c>
      <c r="U180" s="9" t="str">
        <f aca="false">IF(AND(C180&lt;&gt;"",IF(K180="","Chưa làm",K180)="Đang làm"),MAX(U$5:U179)+1,"")</f>
        <v/>
      </c>
      <c r="V180" s="9" t="str">
        <f aca="false">IF(AND(C180&lt;&gt;"",IF(K180="","Chưa làm",K180)="Chờ duyệt"),MAX(V$5:V179)+1,"")</f>
        <v/>
      </c>
      <c r="W180" s="9" t="str">
        <f aca="false">IF(AND(C180&lt;&gt;"",IF(K180="","Chưa làm",K180)="Hoàn thành"),MAX(W$5:W179)+1,"")</f>
        <v/>
      </c>
      <c r="X180" s="9" t="str">
        <f aca="false">IF(AND(C180&lt;&gt;"",K180&lt;&gt;"Hoàn thành",N180="1. Làm ngay"),MAX(X$5:X179)+1,"")</f>
        <v/>
      </c>
      <c r="Y180" s="9" t="str">
        <f aca="false">IF(AND(C180&lt;&gt;"",K180&lt;&gt;"Hoàn thành",N180="2. Lên lịch"),MAX(Y$5:Y179)+1,"")</f>
        <v/>
      </c>
      <c r="Z180" s="9" t="str">
        <f aca="false">IF(AND(C180&lt;&gt;"",K180&lt;&gt;"Hoàn thành",N180="3. Giao lại"),MAX(Z$5:Z179)+1,"")</f>
        <v/>
      </c>
      <c r="AA180" s="9" t="str">
        <f aca="false">IF(AND(C180&lt;&gt;"",K180&lt;&gt;"Hoàn thành",N180="4. Để sau"),MAX(AA$5:AA179)+1,"")</f>
        <v/>
      </c>
      <c r="AB180" s="9" t="str">
        <f aca="false">IF(AND(C180&lt;&gt;"",J180&lt;&gt;"",J180&gt;=TUAN!$C$3,J180&lt;=TUAN!$C$3+6),MAX(AB$5:AB179)+1,"")</f>
        <v/>
      </c>
    </row>
    <row r="181" customFormat="false" ht="15" hidden="false" customHeight="false" outlineLevel="0" collapsed="false">
      <c r="A181" s="9" t="str">
        <f aca="false">IF(C181="","","CV"&amp;TEXT(ROW()-5,"000"))</f>
        <v/>
      </c>
      <c r="B181" s="10"/>
      <c r="C181" s="11"/>
      <c r="D181" s="12"/>
      <c r="E181" s="12"/>
      <c r="F181" s="12"/>
      <c r="G181" s="12"/>
      <c r="H181" s="12"/>
      <c r="I181" s="12"/>
      <c r="J181" s="10"/>
      <c r="K181" s="12"/>
      <c r="L181" s="10"/>
      <c r="M181" s="12"/>
      <c r="N181" s="9" t="str">
        <f aca="false">IF(C181="","",IF(AND(H181="Có",I181="Có"),"1. Làm ngay",IF(H181="Có","2. Lên lịch",IF(I181="Có","3. Giao lại","4. Để sau"))))</f>
        <v/>
      </c>
      <c r="O181" s="9" t="str">
        <f aca="true">IF(OR(C181="",J181="",K181="Hoàn thành"),"",J181-TODAY())</f>
        <v/>
      </c>
      <c r="P181" s="9" t="str">
        <f aca="true">IF(C181="","",IF(K181="Hoàn thành",IF(OR(L181="",J181=""),"Xong (thiếu ngày)",IF(L181&lt;=J181,"Xong đúng hạn","Xong trễ")),IF(J181="","Chưa có hạn",IF(J181&lt;TODAY(),"Quá hạn",IF(J181=TODAY(),"Đến hạn hôm nay",IF(J181-TODAY()&lt;=3,"Sắp đến hạn","Trong hạn"))))))</f>
        <v/>
      </c>
      <c r="Q181" s="9" t="str">
        <f aca="false">IF(OR(C181="",J181=""),"",WEEKNUM(J181,21))</f>
        <v/>
      </c>
      <c r="R181" s="2"/>
      <c r="S181" s="9" t="str">
        <f aca="true">IF(AND(C181&lt;&gt;"",K181&lt;&gt;"Hoàn thành",J181&lt;&gt;"",J181&lt;=TODAY()),MAX(S$5:S180)+1,"")</f>
        <v/>
      </c>
      <c r="T181" s="9" t="str">
        <f aca="false">IF(AND(C181&lt;&gt;"",IF(K181="","Chưa làm",K181)="Chưa làm"),MAX(T$5:T180)+1,"")</f>
        <v/>
      </c>
      <c r="U181" s="9" t="str">
        <f aca="false">IF(AND(C181&lt;&gt;"",IF(K181="","Chưa làm",K181)="Đang làm"),MAX(U$5:U180)+1,"")</f>
        <v/>
      </c>
      <c r="V181" s="9" t="str">
        <f aca="false">IF(AND(C181&lt;&gt;"",IF(K181="","Chưa làm",K181)="Chờ duyệt"),MAX(V$5:V180)+1,"")</f>
        <v/>
      </c>
      <c r="W181" s="9" t="str">
        <f aca="false">IF(AND(C181&lt;&gt;"",IF(K181="","Chưa làm",K181)="Hoàn thành"),MAX(W$5:W180)+1,"")</f>
        <v/>
      </c>
      <c r="X181" s="9" t="str">
        <f aca="false">IF(AND(C181&lt;&gt;"",K181&lt;&gt;"Hoàn thành",N181="1. Làm ngay"),MAX(X$5:X180)+1,"")</f>
        <v/>
      </c>
      <c r="Y181" s="9" t="str">
        <f aca="false">IF(AND(C181&lt;&gt;"",K181&lt;&gt;"Hoàn thành",N181="2. Lên lịch"),MAX(Y$5:Y180)+1,"")</f>
        <v/>
      </c>
      <c r="Z181" s="9" t="str">
        <f aca="false">IF(AND(C181&lt;&gt;"",K181&lt;&gt;"Hoàn thành",N181="3. Giao lại"),MAX(Z$5:Z180)+1,"")</f>
        <v/>
      </c>
      <c r="AA181" s="9" t="str">
        <f aca="false">IF(AND(C181&lt;&gt;"",K181&lt;&gt;"Hoàn thành",N181="4. Để sau"),MAX(AA$5:AA180)+1,"")</f>
        <v/>
      </c>
      <c r="AB181" s="9" t="str">
        <f aca="false">IF(AND(C181&lt;&gt;"",J181&lt;&gt;"",J181&gt;=TUAN!$C$3,J181&lt;=TUAN!$C$3+6),MAX(AB$5:AB180)+1,"")</f>
        <v/>
      </c>
    </row>
    <row r="182" customFormat="false" ht="15" hidden="false" customHeight="false" outlineLevel="0" collapsed="false">
      <c r="A182" s="9" t="str">
        <f aca="false">IF(C182="","","CV"&amp;TEXT(ROW()-5,"000"))</f>
        <v/>
      </c>
      <c r="B182" s="10"/>
      <c r="C182" s="11"/>
      <c r="D182" s="12"/>
      <c r="E182" s="12"/>
      <c r="F182" s="12"/>
      <c r="G182" s="12"/>
      <c r="H182" s="12"/>
      <c r="I182" s="12"/>
      <c r="J182" s="10"/>
      <c r="K182" s="12"/>
      <c r="L182" s="10"/>
      <c r="M182" s="12"/>
      <c r="N182" s="9" t="str">
        <f aca="false">IF(C182="","",IF(AND(H182="Có",I182="Có"),"1. Làm ngay",IF(H182="Có","2. Lên lịch",IF(I182="Có","3. Giao lại","4. Để sau"))))</f>
        <v/>
      </c>
      <c r="O182" s="9" t="str">
        <f aca="true">IF(OR(C182="",J182="",K182="Hoàn thành"),"",J182-TODAY())</f>
        <v/>
      </c>
      <c r="P182" s="9" t="str">
        <f aca="true">IF(C182="","",IF(K182="Hoàn thành",IF(OR(L182="",J182=""),"Xong (thiếu ngày)",IF(L182&lt;=J182,"Xong đúng hạn","Xong trễ")),IF(J182="","Chưa có hạn",IF(J182&lt;TODAY(),"Quá hạn",IF(J182=TODAY(),"Đến hạn hôm nay",IF(J182-TODAY()&lt;=3,"Sắp đến hạn","Trong hạn"))))))</f>
        <v/>
      </c>
      <c r="Q182" s="9" t="str">
        <f aca="false">IF(OR(C182="",J182=""),"",WEEKNUM(J182,21))</f>
        <v/>
      </c>
      <c r="R182" s="2"/>
      <c r="S182" s="9" t="str">
        <f aca="true">IF(AND(C182&lt;&gt;"",K182&lt;&gt;"Hoàn thành",J182&lt;&gt;"",J182&lt;=TODAY()),MAX(S$5:S181)+1,"")</f>
        <v/>
      </c>
      <c r="T182" s="9" t="str">
        <f aca="false">IF(AND(C182&lt;&gt;"",IF(K182="","Chưa làm",K182)="Chưa làm"),MAX(T$5:T181)+1,"")</f>
        <v/>
      </c>
      <c r="U182" s="9" t="str">
        <f aca="false">IF(AND(C182&lt;&gt;"",IF(K182="","Chưa làm",K182)="Đang làm"),MAX(U$5:U181)+1,"")</f>
        <v/>
      </c>
      <c r="V182" s="9" t="str">
        <f aca="false">IF(AND(C182&lt;&gt;"",IF(K182="","Chưa làm",K182)="Chờ duyệt"),MAX(V$5:V181)+1,"")</f>
        <v/>
      </c>
      <c r="W182" s="9" t="str">
        <f aca="false">IF(AND(C182&lt;&gt;"",IF(K182="","Chưa làm",K182)="Hoàn thành"),MAX(W$5:W181)+1,"")</f>
        <v/>
      </c>
      <c r="X182" s="9" t="str">
        <f aca="false">IF(AND(C182&lt;&gt;"",K182&lt;&gt;"Hoàn thành",N182="1. Làm ngay"),MAX(X$5:X181)+1,"")</f>
        <v/>
      </c>
      <c r="Y182" s="9" t="str">
        <f aca="false">IF(AND(C182&lt;&gt;"",K182&lt;&gt;"Hoàn thành",N182="2. Lên lịch"),MAX(Y$5:Y181)+1,"")</f>
        <v/>
      </c>
      <c r="Z182" s="9" t="str">
        <f aca="false">IF(AND(C182&lt;&gt;"",K182&lt;&gt;"Hoàn thành",N182="3. Giao lại"),MAX(Z$5:Z181)+1,"")</f>
        <v/>
      </c>
      <c r="AA182" s="9" t="str">
        <f aca="false">IF(AND(C182&lt;&gt;"",K182&lt;&gt;"Hoàn thành",N182="4. Để sau"),MAX(AA$5:AA181)+1,"")</f>
        <v/>
      </c>
      <c r="AB182" s="9" t="str">
        <f aca="false">IF(AND(C182&lt;&gt;"",J182&lt;&gt;"",J182&gt;=TUAN!$C$3,J182&lt;=TUAN!$C$3+6),MAX(AB$5:AB181)+1,"")</f>
        <v/>
      </c>
    </row>
    <row r="183" customFormat="false" ht="15" hidden="false" customHeight="false" outlineLevel="0" collapsed="false">
      <c r="A183" s="9" t="str">
        <f aca="false">IF(C183="","","CV"&amp;TEXT(ROW()-5,"000"))</f>
        <v/>
      </c>
      <c r="B183" s="10"/>
      <c r="C183" s="11"/>
      <c r="D183" s="12"/>
      <c r="E183" s="12"/>
      <c r="F183" s="12"/>
      <c r="G183" s="12"/>
      <c r="H183" s="12"/>
      <c r="I183" s="12"/>
      <c r="J183" s="10"/>
      <c r="K183" s="12"/>
      <c r="L183" s="10"/>
      <c r="M183" s="12"/>
      <c r="N183" s="9" t="str">
        <f aca="false">IF(C183="","",IF(AND(H183="Có",I183="Có"),"1. Làm ngay",IF(H183="Có","2. Lên lịch",IF(I183="Có","3. Giao lại","4. Để sau"))))</f>
        <v/>
      </c>
      <c r="O183" s="9" t="str">
        <f aca="true">IF(OR(C183="",J183="",K183="Hoàn thành"),"",J183-TODAY())</f>
        <v/>
      </c>
      <c r="P183" s="9" t="str">
        <f aca="true">IF(C183="","",IF(K183="Hoàn thành",IF(OR(L183="",J183=""),"Xong (thiếu ngày)",IF(L183&lt;=J183,"Xong đúng hạn","Xong trễ")),IF(J183="","Chưa có hạn",IF(J183&lt;TODAY(),"Quá hạn",IF(J183=TODAY(),"Đến hạn hôm nay",IF(J183-TODAY()&lt;=3,"Sắp đến hạn","Trong hạn"))))))</f>
        <v/>
      </c>
      <c r="Q183" s="9" t="str">
        <f aca="false">IF(OR(C183="",J183=""),"",WEEKNUM(J183,21))</f>
        <v/>
      </c>
      <c r="R183" s="2"/>
      <c r="S183" s="9" t="str">
        <f aca="true">IF(AND(C183&lt;&gt;"",K183&lt;&gt;"Hoàn thành",J183&lt;&gt;"",J183&lt;=TODAY()),MAX(S$5:S182)+1,"")</f>
        <v/>
      </c>
      <c r="T183" s="9" t="str">
        <f aca="false">IF(AND(C183&lt;&gt;"",IF(K183="","Chưa làm",K183)="Chưa làm"),MAX(T$5:T182)+1,"")</f>
        <v/>
      </c>
      <c r="U183" s="9" t="str">
        <f aca="false">IF(AND(C183&lt;&gt;"",IF(K183="","Chưa làm",K183)="Đang làm"),MAX(U$5:U182)+1,"")</f>
        <v/>
      </c>
      <c r="V183" s="9" t="str">
        <f aca="false">IF(AND(C183&lt;&gt;"",IF(K183="","Chưa làm",K183)="Chờ duyệt"),MAX(V$5:V182)+1,"")</f>
        <v/>
      </c>
      <c r="W183" s="9" t="str">
        <f aca="false">IF(AND(C183&lt;&gt;"",IF(K183="","Chưa làm",K183)="Hoàn thành"),MAX(W$5:W182)+1,"")</f>
        <v/>
      </c>
      <c r="X183" s="9" t="str">
        <f aca="false">IF(AND(C183&lt;&gt;"",K183&lt;&gt;"Hoàn thành",N183="1. Làm ngay"),MAX(X$5:X182)+1,"")</f>
        <v/>
      </c>
      <c r="Y183" s="9" t="str">
        <f aca="false">IF(AND(C183&lt;&gt;"",K183&lt;&gt;"Hoàn thành",N183="2. Lên lịch"),MAX(Y$5:Y182)+1,"")</f>
        <v/>
      </c>
      <c r="Z183" s="9" t="str">
        <f aca="false">IF(AND(C183&lt;&gt;"",K183&lt;&gt;"Hoàn thành",N183="3. Giao lại"),MAX(Z$5:Z182)+1,"")</f>
        <v/>
      </c>
      <c r="AA183" s="9" t="str">
        <f aca="false">IF(AND(C183&lt;&gt;"",K183&lt;&gt;"Hoàn thành",N183="4. Để sau"),MAX(AA$5:AA182)+1,"")</f>
        <v/>
      </c>
      <c r="AB183" s="9" t="str">
        <f aca="false">IF(AND(C183&lt;&gt;"",J183&lt;&gt;"",J183&gt;=TUAN!$C$3,J183&lt;=TUAN!$C$3+6),MAX(AB$5:AB182)+1,"")</f>
        <v/>
      </c>
    </row>
    <row r="184" customFormat="false" ht="15" hidden="false" customHeight="false" outlineLevel="0" collapsed="false">
      <c r="A184" s="9" t="str">
        <f aca="false">IF(C184="","","CV"&amp;TEXT(ROW()-5,"000"))</f>
        <v/>
      </c>
      <c r="B184" s="10"/>
      <c r="C184" s="11"/>
      <c r="D184" s="12"/>
      <c r="E184" s="12"/>
      <c r="F184" s="12"/>
      <c r="G184" s="12"/>
      <c r="H184" s="12"/>
      <c r="I184" s="12"/>
      <c r="J184" s="10"/>
      <c r="K184" s="12"/>
      <c r="L184" s="10"/>
      <c r="M184" s="12"/>
      <c r="N184" s="9" t="str">
        <f aca="false">IF(C184="","",IF(AND(H184="Có",I184="Có"),"1. Làm ngay",IF(H184="Có","2. Lên lịch",IF(I184="Có","3. Giao lại","4. Để sau"))))</f>
        <v/>
      </c>
      <c r="O184" s="9" t="str">
        <f aca="true">IF(OR(C184="",J184="",K184="Hoàn thành"),"",J184-TODAY())</f>
        <v/>
      </c>
      <c r="P184" s="9" t="str">
        <f aca="true">IF(C184="","",IF(K184="Hoàn thành",IF(OR(L184="",J184=""),"Xong (thiếu ngày)",IF(L184&lt;=J184,"Xong đúng hạn","Xong trễ")),IF(J184="","Chưa có hạn",IF(J184&lt;TODAY(),"Quá hạn",IF(J184=TODAY(),"Đến hạn hôm nay",IF(J184-TODAY()&lt;=3,"Sắp đến hạn","Trong hạn"))))))</f>
        <v/>
      </c>
      <c r="Q184" s="9" t="str">
        <f aca="false">IF(OR(C184="",J184=""),"",WEEKNUM(J184,21))</f>
        <v/>
      </c>
      <c r="R184" s="2"/>
      <c r="S184" s="9" t="str">
        <f aca="true">IF(AND(C184&lt;&gt;"",K184&lt;&gt;"Hoàn thành",J184&lt;&gt;"",J184&lt;=TODAY()),MAX(S$5:S183)+1,"")</f>
        <v/>
      </c>
      <c r="T184" s="9" t="str">
        <f aca="false">IF(AND(C184&lt;&gt;"",IF(K184="","Chưa làm",K184)="Chưa làm"),MAX(T$5:T183)+1,"")</f>
        <v/>
      </c>
      <c r="U184" s="9" t="str">
        <f aca="false">IF(AND(C184&lt;&gt;"",IF(K184="","Chưa làm",K184)="Đang làm"),MAX(U$5:U183)+1,"")</f>
        <v/>
      </c>
      <c r="V184" s="9" t="str">
        <f aca="false">IF(AND(C184&lt;&gt;"",IF(K184="","Chưa làm",K184)="Chờ duyệt"),MAX(V$5:V183)+1,"")</f>
        <v/>
      </c>
      <c r="W184" s="9" t="str">
        <f aca="false">IF(AND(C184&lt;&gt;"",IF(K184="","Chưa làm",K184)="Hoàn thành"),MAX(W$5:W183)+1,"")</f>
        <v/>
      </c>
      <c r="X184" s="9" t="str">
        <f aca="false">IF(AND(C184&lt;&gt;"",K184&lt;&gt;"Hoàn thành",N184="1. Làm ngay"),MAX(X$5:X183)+1,"")</f>
        <v/>
      </c>
      <c r="Y184" s="9" t="str">
        <f aca="false">IF(AND(C184&lt;&gt;"",K184&lt;&gt;"Hoàn thành",N184="2. Lên lịch"),MAX(Y$5:Y183)+1,"")</f>
        <v/>
      </c>
      <c r="Z184" s="9" t="str">
        <f aca="false">IF(AND(C184&lt;&gt;"",K184&lt;&gt;"Hoàn thành",N184="3. Giao lại"),MAX(Z$5:Z183)+1,"")</f>
        <v/>
      </c>
      <c r="AA184" s="9" t="str">
        <f aca="false">IF(AND(C184&lt;&gt;"",K184&lt;&gt;"Hoàn thành",N184="4. Để sau"),MAX(AA$5:AA183)+1,"")</f>
        <v/>
      </c>
      <c r="AB184" s="9" t="str">
        <f aca="false">IF(AND(C184&lt;&gt;"",J184&lt;&gt;"",J184&gt;=TUAN!$C$3,J184&lt;=TUAN!$C$3+6),MAX(AB$5:AB183)+1,"")</f>
        <v/>
      </c>
    </row>
    <row r="185" customFormat="false" ht="15" hidden="false" customHeight="false" outlineLevel="0" collapsed="false">
      <c r="A185" s="9" t="str">
        <f aca="false">IF(C185="","","CV"&amp;TEXT(ROW()-5,"000"))</f>
        <v/>
      </c>
      <c r="B185" s="10"/>
      <c r="C185" s="11"/>
      <c r="D185" s="12"/>
      <c r="E185" s="12"/>
      <c r="F185" s="12"/>
      <c r="G185" s="12"/>
      <c r="H185" s="12"/>
      <c r="I185" s="12"/>
      <c r="J185" s="10"/>
      <c r="K185" s="12"/>
      <c r="L185" s="10"/>
      <c r="M185" s="12"/>
      <c r="N185" s="9" t="str">
        <f aca="false">IF(C185="","",IF(AND(H185="Có",I185="Có"),"1. Làm ngay",IF(H185="Có","2. Lên lịch",IF(I185="Có","3. Giao lại","4. Để sau"))))</f>
        <v/>
      </c>
      <c r="O185" s="9" t="str">
        <f aca="true">IF(OR(C185="",J185="",K185="Hoàn thành"),"",J185-TODAY())</f>
        <v/>
      </c>
      <c r="P185" s="9" t="str">
        <f aca="true">IF(C185="","",IF(K185="Hoàn thành",IF(OR(L185="",J185=""),"Xong (thiếu ngày)",IF(L185&lt;=J185,"Xong đúng hạn","Xong trễ")),IF(J185="","Chưa có hạn",IF(J185&lt;TODAY(),"Quá hạn",IF(J185=TODAY(),"Đến hạn hôm nay",IF(J185-TODAY()&lt;=3,"Sắp đến hạn","Trong hạn"))))))</f>
        <v/>
      </c>
      <c r="Q185" s="9" t="str">
        <f aca="false">IF(OR(C185="",J185=""),"",WEEKNUM(J185,21))</f>
        <v/>
      </c>
      <c r="R185" s="2"/>
      <c r="S185" s="9" t="str">
        <f aca="true">IF(AND(C185&lt;&gt;"",K185&lt;&gt;"Hoàn thành",J185&lt;&gt;"",J185&lt;=TODAY()),MAX(S$5:S184)+1,"")</f>
        <v/>
      </c>
      <c r="T185" s="9" t="str">
        <f aca="false">IF(AND(C185&lt;&gt;"",IF(K185="","Chưa làm",K185)="Chưa làm"),MAX(T$5:T184)+1,"")</f>
        <v/>
      </c>
      <c r="U185" s="9" t="str">
        <f aca="false">IF(AND(C185&lt;&gt;"",IF(K185="","Chưa làm",K185)="Đang làm"),MAX(U$5:U184)+1,"")</f>
        <v/>
      </c>
      <c r="V185" s="9" t="str">
        <f aca="false">IF(AND(C185&lt;&gt;"",IF(K185="","Chưa làm",K185)="Chờ duyệt"),MAX(V$5:V184)+1,"")</f>
        <v/>
      </c>
      <c r="W185" s="9" t="str">
        <f aca="false">IF(AND(C185&lt;&gt;"",IF(K185="","Chưa làm",K185)="Hoàn thành"),MAX(W$5:W184)+1,"")</f>
        <v/>
      </c>
      <c r="X185" s="9" t="str">
        <f aca="false">IF(AND(C185&lt;&gt;"",K185&lt;&gt;"Hoàn thành",N185="1. Làm ngay"),MAX(X$5:X184)+1,"")</f>
        <v/>
      </c>
      <c r="Y185" s="9" t="str">
        <f aca="false">IF(AND(C185&lt;&gt;"",K185&lt;&gt;"Hoàn thành",N185="2. Lên lịch"),MAX(Y$5:Y184)+1,"")</f>
        <v/>
      </c>
      <c r="Z185" s="9" t="str">
        <f aca="false">IF(AND(C185&lt;&gt;"",K185&lt;&gt;"Hoàn thành",N185="3. Giao lại"),MAX(Z$5:Z184)+1,"")</f>
        <v/>
      </c>
      <c r="AA185" s="9" t="str">
        <f aca="false">IF(AND(C185&lt;&gt;"",K185&lt;&gt;"Hoàn thành",N185="4. Để sau"),MAX(AA$5:AA184)+1,"")</f>
        <v/>
      </c>
      <c r="AB185" s="9" t="str">
        <f aca="false">IF(AND(C185&lt;&gt;"",J185&lt;&gt;"",J185&gt;=TUAN!$C$3,J185&lt;=TUAN!$C$3+6),MAX(AB$5:AB184)+1,"")</f>
        <v/>
      </c>
    </row>
    <row r="186" customFormat="false" ht="15" hidden="false" customHeight="false" outlineLevel="0" collapsed="false">
      <c r="A186" s="9" t="str">
        <f aca="false">IF(C186="","","CV"&amp;TEXT(ROW()-5,"000"))</f>
        <v/>
      </c>
      <c r="B186" s="10"/>
      <c r="C186" s="11"/>
      <c r="D186" s="12"/>
      <c r="E186" s="12"/>
      <c r="F186" s="12"/>
      <c r="G186" s="12"/>
      <c r="H186" s="12"/>
      <c r="I186" s="12"/>
      <c r="J186" s="10"/>
      <c r="K186" s="12"/>
      <c r="L186" s="10"/>
      <c r="M186" s="12"/>
      <c r="N186" s="9" t="str">
        <f aca="false">IF(C186="","",IF(AND(H186="Có",I186="Có"),"1. Làm ngay",IF(H186="Có","2. Lên lịch",IF(I186="Có","3. Giao lại","4. Để sau"))))</f>
        <v/>
      </c>
      <c r="O186" s="9" t="str">
        <f aca="true">IF(OR(C186="",J186="",K186="Hoàn thành"),"",J186-TODAY())</f>
        <v/>
      </c>
      <c r="P186" s="9" t="str">
        <f aca="true">IF(C186="","",IF(K186="Hoàn thành",IF(OR(L186="",J186=""),"Xong (thiếu ngày)",IF(L186&lt;=J186,"Xong đúng hạn","Xong trễ")),IF(J186="","Chưa có hạn",IF(J186&lt;TODAY(),"Quá hạn",IF(J186=TODAY(),"Đến hạn hôm nay",IF(J186-TODAY()&lt;=3,"Sắp đến hạn","Trong hạn"))))))</f>
        <v/>
      </c>
      <c r="Q186" s="9" t="str">
        <f aca="false">IF(OR(C186="",J186=""),"",WEEKNUM(J186,21))</f>
        <v/>
      </c>
      <c r="R186" s="2"/>
      <c r="S186" s="9" t="str">
        <f aca="true">IF(AND(C186&lt;&gt;"",K186&lt;&gt;"Hoàn thành",J186&lt;&gt;"",J186&lt;=TODAY()),MAX(S$5:S185)+1,"")</f>
        <v/>
      </c>
      <c r="T186" s="9" t="str">
        <f aca="false">IF(AND(C186&lt;&gt;"",IF(K186="","Chưa làm",K186)="Chưa làm"),MAX(T$5:T185)+1,"")</f>
        <v/>
      </c>
      <c r="U186" s="9" t="str">
        <f aca="false">IF(AND(C186&lt;&gt;"",IF(K186="","Chưa làm",K186)="Đang làm"),MAX(U$5:U185)+1,"")</f>
        <v/>
      </c>
      <c r="V186" s="9" t="str">
        <f aca="false">IF(AND(C186&lt;&gt;"",IF(K186="","Chưa làm",K186)="Chờ duyệt"),MAX(V$5:V185)+1,"")</f>
        <v/>
      </c>
      <c r="W186" s="9" t="str">
        <f aca="false">IF(AND(C186&lt;&gt;"",IF(K186="","Chưa làm",K186)="Hoàn thành"),MAX(W$5:W185)+1,"")</f>
        <v/>
      </c>
      <c r="X186" s="9" t="str">
        <f aca="false">IF(AND(C186&lt;&gt;"",K186&lt;&gt;"Hoàn thành",N186="1. Làm ngay"),MAX(X$5:X185)+1,"")</f>
        <v/>
      </c>
      <c r="Y186" s="9" t="str">
        <f aca="false">IF(AND(C186&lt;&gt;"",K186&lt;&gt;"Hoàn thành",N186="2. Lên lịch"),MAX(Y$5:Y185)+1,"")</f>
        <v/>
      </c>
      <c r="Z186" s="9" t="str">
        <f aca="false">IF(AND(C186&lt;&gt;"",K186&lt;&gt;"Hoàn thành",N186="3. Giao lại"),MAX(Z$5:Z185)+1,"")</f>
        <v/>
      </c>
      <c r="AA186" s="9" t="str">
        <f aca="false">IF(AND(C186&lt;&gt;"",K186&lt;&gt;"Hoàn thành",N186="4. Để sau"),MAX(AA$5:AA185)+1,"")</f>
        <v/>
      </c>
      <c r="AB186" s="9" t="str">
        <f aca="false">IF(AND(C186&lt;&gt;"",J186&lt;&gt;"",J186&gt;=TUAN!$C$3,J186&lt;=TUAN!$C$3+6),MAX(AB$5:AB185)+1,"")</f>
        <v/>
      </c>
    </row>
    <row r="187" customFormat="false" ht="15" hidden="false" customHeight="false" outlineLevel="0" collapsed="false">
      <c r="A187" s="9" t="str">
        <f aca="false">IF(C187="","","CV"&amp;TEXT(ROW()-5,"000"))</f>
        <v/>
      </c>
      <c r="B187" s="10"/>
      <c r="C187" s="11"/>
      <c r="D187" s="12"/>
      <c r="E187" s="12"/>
      <c r="F187" s="12"/>
      <c r="G187" s="12"/>
      <c r="H187" s="12"/>
      <c r="I187" s="12"/>
      <c r="J187" s="10"/>
      <c r="K187" s="12"/>
      <c r="L187" s="10"/>
      <c r="M187" s="12"/>
      <c r="N187" s="9" t="str">
        <f aca="false">IF(C187="","",IF(AND(H187="Có",I187="Có"),"1. Làm ngay",IF(H187="Có","2. Lên lịch",IF(I187="Có","3. Giao lại","4. Để sau"))))</f>
        <v/>
      </c>
      <c r="O187" s="9" t="str">
        <f aca="true">IF(OR(C187="",J187="",K187="Hoàn thành"),"",J187-TODAY())</f>
        <v/>
      </c>
      <c r="P187" s="9" t="str">
        <f aca="true">IF(C187="","",IF(K187="Hoàn thành",IF(OR(L187="",J187=""),"Xong (thiếu ngày)",IF(L187&lt;=J187,"Xong đúng hạn","Xong trễ")),IF(J187="","Chưa có hạn",IF(J187&lt;TODAY(),"Quá hạn",IF(J187=TODAY(),"Đến hạn hôm nay",IF(J187-TODAY()&lt;=3,"Sắp đến hạn","Trong hạn"))))))</f>
        <v/>
      </c>
      <c r="Q187" s="9" t="str">
        <f aca="false">IF(OR(C187="",J187=""),"",WEEKNUM(J187,21))</f>
        <v/>
      </c>
      <c r="R187" s="2"/>
      <c r="S187" s="9" t="str">
        <f aca="true">IF(AND(C187&lt;&gt;"",K187&lt;&gt;"Hoàn thành",J187&lt;&gt;"",J187&lt;=TODAY()),MAX(S$5:S186)+1,"")</f>
        <v/>
      </c>
      <c r="T187" s="9" t="str">
        <f aca="false">IF(AND(C187&lt;&gt;"",IF(K187="","Chưa làm",K187)="Chưa làm"),MAX(T$5:T186)+1,"")</f>
        <v/>
      </c>
      <c r="U187" s="9" t="str">
        <f aca="false">IF(AND(C187&lt;&gt;"",IF(K187="","Chưa làm",K187)="Đang làm"),MAX(U$5:U186)+1,"")</f>
        <v/>
      </c>
      <c r="V187" s="9" t="str">
        <f aca="false">IF(AND(C187&lt;&gt;"",IF(K187="","Chưa làm",K187)="Chờ duyệt"),MAX(V$5:V186)+1,"")</f>
        <v/>
      </c>
      <c r="W187" s="9" t="str">
        <f aca="false">IF(AND(C187&lt;&gt;"",IF(K187="","Chưa làm",K187)="Hoàn thành"),MAX(W$5:W186)+1,"")</f>
        <v/>
      </c>
      <c r="X187" s="9" t="str">
        <f aca="false">IF(AND(C187&lt;&gt;"",K187&lt;&gt;"Hoàn thành",N187="1. Làm ngay"),MAX(X$5:X186)+1,"")</f>
        <v/>
      </c>
      <c r="Y187" s="9" t="str">
        <f aca="false">IF(AND(C187&lt;&gt;"",K187&lt;&gt;"Hoàn thành",N187="2. Lên lịch"),MAX(Y$5:Y186)+1,"")</f>
        <v/>
      </c>
      <c r="Z187" s="9" t="str">
        <f aca="false">IF(AND(C187&lt;&gt;"",K187&lt;&gt;"Hoàn thành",N187="3. Giao lại"),MAX(Z$5:Z186)+1,"")</f>
        <v/>
      </c>
      <c r="AA187" s="9" t="str">
        <f aca="false">IF(AND(C187&lt;&gt;"",K187&lt;&gt;"Hoàn thành",N187="4. Để sau"),MAX(AA$5:AA186)+1,"")</f>
        <v/>
      </c>
      <c r="AB187" s="9" t="str">
        <f aca="false">IF(AND(C187&lt;&gt;"",J187&lt;&gt;"",J187&gt;=TUAN!$C$3,J187&lt;=TUAN!$C$3+6),MAX(AB$5:AB186)+1,"")</f>
        <v/>
      </c>
    </row>
    <row r="188" customFormat="false" ht="15" hidden="false" customHeight="false" outlineLevel="0" collapsed="false">
      <c r="A188" s="9" t="str">
        <f aca="false">IF(C188="","","CV"&amp;TEXT(ROW()-5,"000"))</f>
        <v/>
      </c>
      <c r="B188" s="10"/>
      <c r="C188" s="11"/>
      <c r="D188" s="12"/>
      <c r="E188" s="12"/>
      <c r="F188" s="12"/>
      <c r="G188" s="12"/>
      <c r="H188" s="12"/>
      <c r="I188" s="12"/>
      <c r="J188" s="10"/>
      <c r="K188" s="12"/>
      <c r="L188" s="10"/>
      <c r="M188" s="12"/>
      <c r="N188" s="9" t="str">
        <f aca="false">IF(C188="","",IF(AND(H188="Có",I188="Có"),"1. Làm ngay",IF(H188="Có","2. Lên lịch",IF(I188="Có","3. Giao lại","4. Để sau"))))</f>
        <v/>
      </c>
      <c r="O188" s="9" t="str">
        <f aca="true">IF(OR(C188="",J188="",K188="Hoàn thành"),"",J188-TODAY())</f>
        <v/>
      </c>
      <c r="P188" s="9" t="str">
        <f aca="true">IF(C188="","",IF(K188="Hoàn thành",IF(OR(L188="",J188=""),"Xong (thiếu ngày)",IF(L188&lt;=J188,"Xong đúng hạn","Xong trễ")),IF(J188="","Chưa có hạn",IF(J188&lt;TODAY(),"Quá hạn",IF(J188=TODAY(),"Đến hạn hôm nay",IF(J188-TODAY()&lt;=3,"Sắp đến hạn","Trong hạn"))))))</f>
        <v/>
      </c>
      <c r="Q188" s="9" t="str">
        <f aca="false">IF(OR(C188="",J188=""),"",WEEKNUM(J188,21))</f>
        <v/>
      </c>
      <c r="R188" s="2"/>
      <c r="S188" s="9" t="str">
        <f aca="true">IF(AND(C188&lt;&gt;"",K188&lt;&gt;"Hoàn thành",J188&lt;&gt;"",J188&lt;=TODAY()),MAX(S$5:S187)+1,"")</f>
        <v/>
      </c>
      <c r="T188" s="9" t="str">
        <f aca="false">IF(AND(C188&lt;&gt;"",IF(K188="","Chưa làm",K188)="Chưa làm"),MAX(T$5:T187)+1,"")</f>
        <v/>
      </c>
      <c r="U188" s="9" t="str">
        <f aca="false">IF(AND(C188&lt;&gt;"",IF(K188="","Chưa làm",K188)="Đang làm"),MAX(U$5:U187)+1,"")</f>
        <v/>
      </c>
      <c r="V188" s="9" t="str">
        <f aca="false">IF(AND(C188&lt;&gt;"",IF(K188="","Chưa làm",K188)="Chờ duyệt"),MAX(V$5:V187)+1,"")</f>
        <v/>
      </c>
      <c r="W188" s="9" t="str">
        <f aca="false">IF(AND(C188&lt;&gt;"",IF(K188="","Chưa làm",K188)="Hoàn thành"),MAX(W$5:W187)+1,"")</f>
        <v/>
      </c>
      <c r="X188" s="9" t="str">
        <f aca="false">IF(AND(C188&lt;&gt;"",K188&lt;&gt;"Hoàn thành",N188="1. Làm ngay"),MAX(X$5:X187)+1,"")</f>
        <v/>
      </c>
      <c r="Y188" s="9" t="str">
        <f aca="false">IF(AND(C188&lt;&gt;"",K188&lt;&gt;"Hoàn thành",N188="2. Lên lịch"),MAX(Y$5:Y187)+1,"")</f>
        <v/>
      </c>
      <c r="Z188" s="9" t="str">
        <f aca="false">IF(AND(C188&lt;&gt;"",K188&lt;&gt;"Hoàn thành",N188="3. Giao lại"),MAX(Z$5:Z187)+1,"")</f>
        <v/>
      </c>
      <c r="AA188" s="9" t="str">
        <f aca="false">IF(AND(C188&lt;&gt;"",K188&lt;&gt;"Hoàn thành",N188="4. Để sau"),MAX(AA$5:AA187)+1,"")</f>
        <v/>
      </c>
      <c r="AB188" s="9" t="str">
        <f aca="false">IF(AND(C188&lt;&gt;"",J188&lt;&gt;"",J188&gt;=TUAN!$C$3,J188&lt;=TUAN!$C$3+6),MAX(AB$5:AB187)+1,"")</f>
        <v/>
      </c>
    </row>
    <row r="189" customFormat="false" ht="15" hidden="false" customHeight="false" outlineLevel="0" collapsed="false">
      <c r="A189" s="9" t="str">
        <f aca="false">IF(C189="","","CV"&amp;TEXT(ROW()-5,"000"))</f>
        <v/>
      </c>
      <c r="B189" s="10"/>
      <c r="C189" s="11"/>
      <c r="D189" s="12"/>
      <c r="E189" s="12"/>
      <c r="F189" s="12"/>
      <c r="G189" s="12"/>
      <c r="H189" s="12"/>
      <c r="I189" s="12"/>
      <c r="J189" s="10"/>
      <c r="K189" s="12"/>
      <c r="L189" s="10"/>
      <c r="M189" s="12"/>
      <c r="N189" s="9" t="str">
        <f aca="false">IF(C189="","",IF(AND(H189="Có",I189="Có"),"1. Làm ngay",IF(H189="Có","2. Lên lịch",IF(I189="Có","3. Giao lại","4. Để sau"))))</f>
        <v/>
      </c>
      <c r="O189" s="9" t="str">
        <f aca="true">IF(OR(C189="",J189="",K189="Hoàn thành"),"",J189-TODAY())</f>
        <v/>
      </c>
      <c r="P189" s="9" t="str">
        <f aca="true">IF(C189="","",IF(K189="Hoàn thành",IF(OR(L189="",J189=""),"Xong (thiếu ngày)",IF(L189&lt;=J189,"Xong đúng hạn","Xong trễ")),IF(J189="","Chưa có hạn",IF(J189&lt;TODAY(),"Quá hạn",IF(J189=TODAY(),"Đến hạn hôm nay",IF(J189-TODAY()&lt;=3,"Sắp đến hạn","Trong hạn"))))))</f>
        <v/>
      </c>
      <c r="Q189" s="9" t="str">
        <f aca="false">IF(OR(C189="",J189=""),"",WEEKNUM(J189,21))</f>
        <v/>
      </c>
      <c r="R189" s="2"/>
      <c r="S189" s="9" t="str">
        <f aca="true">IF(AND(C189&lt;&gt;"",K189&lt;&gt;"Hoàn thành",J189&lt;&gt;"",J189&lt;=TODAY()),MAX(S$5:S188)+1,"")</f>
        <v/>
      </c>
      <c r="T189" s="9" t="str">
        <f aca="false">IF(AND(C189&lt;&gt;"",IF(K189="","Chưa làm",K189)="Chưa làm"),MAX(T$5:T188)+1,"")</f>
        <v/>
      </c>
      <c r="U189" s="9" t="str">
        <f aca="false">IF(AND(C189&lt;&gt;"",IF(K189="","Chưa làm",K189)="Đang làm"),MAX(U$5:U188)+1,"")</f>
        <v/>
      </c>
      <c r="V189" s="9" t="str">
        <f aca="false">IF(AND(C189&lt;&gt;"",IF(K189="","Chưa làm",K189)="Chờ duyệt"),MAX(V$5:V188)+1,"")</f>
        <v/>
      </c>
      <c r="W189" s="9" t="str">
        <f aca="false">IF(AND(C189&lt;&gt;"",IF(K189="","Chưa làm",K189)="Hoàn thành"),MAX(W$5:W188)+1,"")</f>
        <v/>
      </c>
      <c r="X189" s="9" t="str">
        <f aca="false">IF(AND(C189&lt;&gt;"",K189&lt;&gt;"Hoàn thành",N189="1. Làm ngay"),MAX(X$5:X188)+1,"")</f>
        <v/>
      </c>
      <c r="Y189" s="9" t="str">
        <f aca="false">IF(AND(C189&lt;&gt;"",K189&lt;&gt;"Hoàn thành",N189="2. Lên lịch"),MAX(Y$5:Y188)+1,"")</f>
        <v/>
      </c>
      <c r="Z189" s="9" t="str">
        <f aca="false">IF(AND(C189&lt;&gt;"",K189&lt;&gt;"Hoàn thành",N189="3. Giao lại"),MAX(Z$5:Z188)+1,"")</f>
        <v/>
      </c>
      <c r="AA189" s="9" t="str">
        <f aca="false">IF(AND(C189&lt;&gt;"",K189&lt;&gt;"Hoàn thành",N189="4. Để sau"),MAX(AA$5:AA188)+1,"")</f>
        <v/>
      </c>
      <c r="AB189" s="9" t="str">
        <f aca="false">IF(AND(C189&lt;&gt;"",J189&lt;&gt;"",J189&gt;=TUAN!$C$3,J189&lt;=TUAN!$C$3+6),MAX(AB$5:AB188)+1,"")</f>
        <v/>
      </c>
    </row>
    <row r="190" customFormat="false" ht="15" hidden="false" customHeight="false" outlineLevel="0" collapsed="false">
      <c r="A190" s="9" t="str">
        <f aca="false">IF(C190="","","CV"&amp;TEXT(ROW()-5,"000"))</f>
        <v/>
      </c>
      <c r="B190" s="10"/>
      <c r="C190" s="11"/>
      <c r="D190" s="12"/>
      <c r="E190" s="12"/>
      <c r="F190" s="12"/>
      <c r="G190" s="12"/>
      <c r="H190" s="12"/>
      <c r="I190" s="12"/>
      <c r="J190" s="10"/>
      <c r="K190" s="12"/>
      <c r="L190" s="10"/>
      <c r="M190" s="12"/>
      <c r="N190" s="9" t="str">
        <f aca="false">IF(C190="","",IF(AND(H190="Có",I190="Có"),"1. Làm ngay",IF(H190="Có","2. Lên lịch",IF(I190="Có","3. Giao lại","4. Để sau"))))</f>
        <v/>
      </c>
      <c r="O190" s="9" t="str">
        <f aca="true">IF(OR(C190="",J190="",K190="Hoàn thành"),"",J190-TODAY())</f>
        <v/>
      </c>
      <c r="P190" s="9" t="str">
        <f aca="true">IF(C190="","",IF(K190="Hoàn thành",IF(OR(L190="",J190=""),"Xong (thiếu ngày)",IF(L190&lt;=J190,"Xong đúng hạn","Xong trễ")),IF(J190="","Chưa có hạn",IF(J190&lt;TODAY(),"Quá hạn",IF(J190=TODAY(),"Đến hạn hôm nay",IF(J190-TODAY()&lt;=3,"Sắp đến hạn","Trong hạn"))))))</f>
        <v/>
      </c>
      <c r="Q190" s="9" t="str">
        <f aca="false">IF(OR(C190="",J190=""),"",WEEKNUM(J190,21))</f>
        <v/>
      </c>
      <c r="R190" s="2"/>
      <c r="S190" s="9" t="str">
        <f aca="true">IF(AND(C190&lt;&gt;"",K190&lt;&gt;"Hoàn thành",J190&lt;&gt;"",J190&lt;=TODAY()),MAX(S$5:S189)+1,"")</f>
        <v/>
      </c>
      <c r="T190" s="9" t="str">
        <f aca="false">IF(AND(C190&lt;&gt;"",IF(K190="","Chưa làm",K190)="Chưa làm"),MAX(T$5:T189)+1,"")</f>
        <v/>
      </c>
      <c r="U190" s="9" t="str">
        <f aca="false">IF(AND(C190&lt;&gt;"",IF(K190="","Chưa làm",K190)="Đang làm"),MAX(U$5:U189)+1,"")</f>
        <v/>
      </c>
      <c r="V190" s="9" t="str">
        <f aca="false">IF(AND(C190&lt;&gt;"",IF(K190="","Chưa làm",K190)="Chờ duyệt"),MAX(V$5:V189)+1,"")</f>
        <v/>
      </c>
      <c r="W190" s="9" t="str">
        <f aca="false">IF(AND(C190&lt;&gt;"",IF(K190="","Chưa làm",K190)="Hoàn thành"),MAX(W$5:W189)+1,"")</f>
        <v/>
      </c>
      <c r="X190" s="9" t="str">
        <f aca="false">IF(AND(C190&lt;&gt;"",K190&lt;&gt;"Hoàn thành",N190="1. Làm ngay"),MAX(X$5:X189)+1,"")</f>
        <v/>
      </c>
      <c r="Y190" s="9" t="str">
        <f aca="false">IF(AND(C190&lt;&gt;"",K190&lt;&gt;"Hoàn thành",N190="2. Lên lịch"),MAX(Y$5:Y189)+1,"")</f>
        <v/>
      </c>
      <c r="Z190" s="9" t="str">
        <f aca="false">IF(AND(C190&lt;&gt;"",K190&lt;&gt;"Hoàn thành",N190="3. Giao lại"),MAX(Z$5:Z189)+1,"")</f>
        <v/>
      </c>
      <c r="AA190" s="9" t="str">
        <f aca="false">IF(AND(C190&lt;&gt;"",K190&lt;&gt;"Hoàn thành",N190="4. Để sau"),MAX(AA$5:AA189)+1,"")</f>
        <v/>
      </c>
      <c r="AB190" s="9" t="str">
        <f aca="false">IF(AND(C190&lt;&gt;"",J190&lt;&gt;"",J190&gt;=TUAN!$C$3,J190&lt;=TUAN!$C$3+6),MAX(AB$5:AB189)+1,"")</f>
        <v/>
      </c>
    </row>
    <row r="191" customFormat="false" ht="15" hidden="false" customHeight="false" outlineLevel="0" collapsed="false">
      <c r="A191" s="9" t="str">
        <f aca="false">IF(C191="","","CV"&amp;TEXT(ROW()-5,"000"))</f>
        <v/>
      </c>
      <c r="B191" s="10"/>
      <c r="C191" s="11"/>
      <c r="D191" s="12"/>
      <c r="E191" s="12"/>
      <c r="F191" s="12"/>
      <c r="G191" s="12"/>
      <c r="H191" s="12"/>
      <c r="I191" s="12"/>
      <c r="J191" s="10"/>
      <c r="K191" s="12"/>
      <c r="L191" s="10"/>
      <c r="M191" s="12"/>
      <c r="N191" s="9" t="str">
        <f aca="false">IF(C191="","",IF(AND(H191="Có",I191="Có"),"1. Làm ngay",IF(H191="Có","2. Lên lịch",IF(I191="Có","3. Giao lại","4. Để sau"))))</f>
        <v/>
      </c>
      <c r="O191" s="9" t="str">
        <f aca="true">IF(OR(C191="",J191="",K191="Hoàn thành"),"",J191-TODAY())</f>
        <v/>
      </c>
      <c r="P191" s="9" t="str">
        <f aca="true">IF(C191="","",IF(K191="Hoàn thành",IF(OR(L191="",J191=""),"Xong (thiếu ngày)",IF(L191&lt;=J191,"Xong đúng hạn","Xong trễ")),IF(J191="","Chưa có hạn",IF(J191&lt;TODAY(),"Quá hạn",IF(J191=TODAY(),"Đến hạn hôm nay",IF(J191-TODAY()&lt;=3,"Sắp đến hạn","Trong hạn"))))))</f>
        <v/>
      </c>
      <c r="Q191" s="9" t="str">
        <f aca="false">IF(OR(C191="",J191=""),"",WEEKNUM(J191,21))</f>
        <v/>
      </c>
      <c r="R191" s="2"/>
      <c r="S191" s="9" t="str">
        <f aca="true">IF(AND(C191&lt;&gt;"",K191&lt;&gt;"Hoàn thành",J191&lt;&gt;"",J191&lt;=TODAY()),MAX(S$5:S190)+1,"")</f>
        <v/>
      </c>
      <c r="T191" s="9" t="str">
        <f aca="false">IF(AND(C191&lt;&gt;"",IF(K191="","Chưa làm",K191)="Chưa làm"),MAX(T$5:T190)+1,"")</f>
        <v/>
      </c>
      <c r="U191" s="9" t="str">
        <f aca="false">IF(AND(C191&lt;&gt;"",IF(K191="","Chưa làm",K191)="Đang làm"),MAX(U$5:U190)+1,"")</f>
        <v/>
      </c>
      <c r="V191" s="9" t="str">
        <f aca="false">IF(AND(C191&lt;&gt;"",IF(K191="","Chưa làm",K191)="Chờ duyệt"),MAX(V$5:V190)+1,"")</f>
        <v/>
      </c>
      <c r="W191" s="9" t="str">
        <f aca="false">IF(AND(C191&lt;&gt;"",IF(K191="","Chưa làm",K191)="Hoàn thành"),MAX(W$5:W190)+1,"")</f>
        <v/>
      </c>
      <c r="X191" s="9" t="str">
        <f aca="false">IF(AND(C191&lt;&gt;"",K191&lt;&gt;"Hoàn thành",N191="1. Làm ngay"),MAX(X$5:X190)+1,"")</f>
        <v/>
      </c>
      <c r="Y191" s="9" t="str">
        <f aca="false">IF(AND(C191&lt;&gt;"",K191&lt;&gt;"Hoàn thành",N191="2. Lên lịch"),MAX(Y$5:Y190)+1,"")</f>
        <v/>
      </c>
      <c r="Z191" s="9" t="str">
        <f aca="false">IF(AND(C191&lt;&gt;"",K191&lt;&gt;"Hoàn thành",N191="3. Giao lại"),MAX(Z$5:Z190)+1,"")</f>
        <v/>
      </c>
      <c r="AA191" s="9" t="str">
        <f aca="false">IF(AND(C191&lt;&gt;"",K191&lt;&gt;"Hoàn thành",N191="4. Để sau"),MAX(AA$5:AA190)+1,"")</f>
        <v/>
      </c>
      <c r="AB191" s="9" t="str">
        <f aca="false">IF(AND(C191&lt;&gt;"",J191&lt;&gt;"",J191&gt;=TUAN!$C$3,J191&lt;=TUAN!$C$3+6),MAX(AB$5:AB190)+1,"")</f>
        <v/>
      </c>
    </row>
    <row r="192" customFormat="false" ht="15" hidden="false" customHeight="false" outlineLevel="0" collapsed="false">
      <c r="A192" s="9" t="str">
        <f aca="false">IF(C192="","","CV"&amp;TEXT(ROW()-5,"000"))</f>
        <v/>
      </c>
      <c r="B192" s="10"/>
      <c r="C192" s="11"/>
      <c r="D192" s="12"/>
      <c r="E192" s="12"/>
      <c r="F192" s="12"/>
      <c r="G192" s="12"/>
      <c r="H192" s="12"/>
      <c r="I192" s="12"/>
      <c r="J192" s="10"/>
      <c r="K192" s="12"/>
      <c r="L192" s="10"/>
      <c r="M192" s="12"/>
      <c r="N192" s="9" t="str">
        <f aca="false">IF(C192="","",IF(AND(H192="Có",I192="Có"),"1. Làm ngay",IF(H192="Có","2. Lên lịch",IF(I192="Có","3. Giao lại","4. Để sau"))))</f>
        <v/>
      </c>
      <c r="O192" s="9" t="str">
        <f aca="true">IF(OR(C192="",J192="",K192="Hoàn thành"),"",J192-TODAY())</f>
        <v/>
      </c>
      <c r="P192" s="9" t="str">
        <f aca="true">IF(C192="","",IF(K192="Hoàn thành",IF(OR(L192="",J192=""),"Xong (thiếu ngày)",IF(L192&lt;=J192,"Xong đúng hạn","Xong trễ")),IF(J192="","Chưa có hạn",IF(J192&lt;TODAY(),"Quá hạn",IF(J192=TODAY(),"Đến hạn hôm nay",IF(J192-TODAY()&lt;=3,"Sắp đến hạn","Trong hạn"))))))</f>
        <v/>
      </c>
      <c r="Q192" s="9" t="str">
        <f aca="false">IF(OR(C192="",J192=""),"",WEEKNUM(J192,21))</f>
        <v/>
      </c>
      <c r="R192" s="2"/>
      <c r="S192" s="9" t="str">
        <f aca="true">IF(AND(C192&lt;&gt;"",K192&lt;&gt;"Hoàn thành",J192&lt;&gt;"",J192&lt;=TODAY()),MAX(S$5:S191)+1,"")</f>
        <v/>
      </c>
      <c r="T192" s="9" t="str">
        <f aca="false">IF(AND(C192&lt;&gt;"",IF(K192="","Chưa làm",K192)="Chưa làm"),MAX(T$5:T191)+1,"")</f>
        <v/>
      </c>
      <c r="U192" s="9" t="str">
        <f aca="false">IF(AND(C192&lt;&gt;"",IF(K192="","Chưa làm",K192)="Đang làm"),MAX(U$5:U191)+1,"")</f>
        <v/>
      </c>
      <c r="V192" s="9" t="str">
        <f aca="false">IF(AND(C192&lt;&gt;"",IF(K192="","Chưa làm",K192)="Chờ duyệt"),MAX(V$5:V191)+1,"")</f>
        <v/>
      </c>
      <c r="W192" s="9" t="str">
        <f aca="false">IF(AND(C192&lt;&gt;"",IF(K192="","Chưa làm",K192)="Hoàn thành"),MAX(W$5:W191)+1,"")</f>
        <v/>
      </c>
      <c r="X192" s="9" t="str">
        <f aca="false">IF(AND(C192&lt;&gt;"",K192&lt;&gt;"Hoàn thành",N192="1. Làm ngay"),MAX(X$5:X191)+1,"")</f>
        <v/>
      </c>
      <c r="Y192" s="9" t="str">
        <f aca="false">IF(AND(C192&lt;&gt;"",K192&lt;&gt;"Hoàn thành",N192="2. Lên lịch"),MAX(Y$5:Y191)+1,"")</f>
        <v/>
      </c>
      <c r="Z192" s="9" t="str">
        <f aca="false">IF(AND(C192&lt;&gt;"",K192&lt;&gt;"Hoàn thành",N192="3. Giao lại"),MAX(Z$5:Z191)+1,"")</f>
        <v/>
      </c>
      <c r="AA192" s="9" t="str">
        <f aca="false">IF(AND(C192&lt;&gt;"",K192&lt;&gt;"Hoàn thành",N192="4. Để sau"),MAX(AA$5:AA191)+1,"")</f>
        <v/>
      </c>
      <c r="AB192" s="9" t="str">
        <f aca="false">IF(AND(C192&lt;&gt;"",J192&lt;&gt;"",J192&gt;=TUAN!$C$3,J192&lt;=TUAN!$C$3+6),MAX(AB$5:AB191)+1,"")</f>
        <v/>
      </c>
    </row>
    <row r="193" customFormat="false" ht="15" hidden="false" customHeight="false" outlineLevel="0" collapsed="false">
      <c r="A193" s="9" t="str">
        <f aca="false">IF(C193="","","CV"&amp;TEXT(ROW()-5,"000"))</f>
        <v/>
      </c>
      <c r="B193" s="10"/>
      <c r="C193" s="11"/>
      <c r="D193" s="12"/>
      <c r="E193" s="12"/>
      <c r="F193" s="12"/>
      <c r="G193" s="12"/>
      <c r="H193" s="12"/>
      <c r="I193" s="12"/>
      <c r="J193" s="10"/>
      <c r="K193" s="12"/>
      <c r="L193" s="10"/>
      <c r="M193" s="12"/>
      <c r="N193" s="9" t="str">
        <f aca="false">IF(C193="","",IF(AND(H193="Có",I193="Có"),"1. Làm ngay",IF(H193="Có","2. Lên lịch",IF(I193="Có","3. Giao lại","4. Để sau"))))</f>
        <v/>
      </c>
      <c r="O193" s="9" t="str">
        <f aca="true">IF(OR(C193="",J193="",K193="Hoàn thành"),"",J193-TODAY())</f>
        <v/>
      </c>
      <c r="P193" s="9" t="str">
        <f aca="true">IF(C193="","",IF(K193="Hoàn thành",IF(OR(L193="",J193=""),"Xong (thiếu ngày)",IF(L193&lt;=J193,"Xong đúng hạn","Xong trễ")),IF(J193="","Chưa có hạn",IF(J193&lt;TODAY(),"Quá hạn",IF(J193=TODAY(),"Đến hạn hôm nay",IF(J193-TODAY()&lt;=3,"Sắp đến hạn","Trong hạn"))))))</f>
        <v/>
      </c>
      <c r="Q193" s="9" t="str">
        <f aca="false">IF(OR(C193="",J193=""),"",WEEKNUM(J193,21))</f>
        <v/>
      </c>
      <c r="R193" s="2"/>
      <c r="S193" s="9" t="str">
        <f aca="true">IF(AND(C193&lt;&gt;"",K193&lt;&gt;"Hoàn thành",J193&lt;&gt;"",J193&lt;=TODAY()),MAX(S$5:S192)+1,"")</f>
        <v/>
      </c>
      <c r="T193" s="9" t="str">
        <f aca="false">IF(AND(C193&lt;&gt;"",IF(K193="","Chưa làm",K193)="Chưa làm"),MAX(T$5:T192)+1,"")</f>
        <v/>
      </c>
      <c r="U193" s="9" t="str">
        <f aca="false">IF(AND(C193&lt;&gt;"",IF(K193="","Chưa làm",K193)="Đang làm"),MAX(U$5:U192)+1,"")</f>
        <v/>
      </c>
      <c r="V193" s="9" t="str">
        <f aca="false">IF(AND(C193&lt;&gt;"",IF(K193="","Chưa làm",K193)="Chờ duyệt"),MAX(V$5:V192)+1,"")</f>
        <v/>
      </c>
      <c r="W193" s="9" t="str">
        <f aca="false">IF(AND(C193&lt;&gt;"",IF(K193="","Chưa làm",K193)="Hoàn thành"),MAX(W$5:W192)+1,"")</f>
        <v/>
      </c>
      <c r="X193" s="9" t="str">
        <f aca="false">IF(AND(C193&lt;&gt;"",K193&lt;&gt;"Hoàn thành",N193="1. Làm ngay"),MAX(X$5:X192)+1,"")</f>
        <v/>
      </c>
      <c r="Y193" s="9" t="str">
        <f aca="false">IF(AND(C193&lt;&gt;"",K193&lt;&gt;"Hoàn thành",N193="2. Lên lịch"),MAX(Y$5:Y192)+1,"")</f>
        <v/>
      </c>
      <c r="Z193" s="9" t="str">
        <f aca="false">IF(AND(C193&lt;&gt;"",K193&lt;&gt;"Hoàn thành",N193="3. Giao lại"),MAX(Z$5:Z192)+1,"")</f>
        <v/>
      </c>
      <c r="AA193" s="9" t="str">
        <f aca="false">IF(AND(C193&lt;&gt;"",K193&lt;&gt;"Hoàn thành",N193="4. Để sau"),MAX(AA$5:AA192)+1,"")</f>
        <v/>
      </c>
      <c r="AB193" s="9" t="str">
        <f aca="false">IF(AND(C193&lt;&gt;"",J193&lt;&gt;"",J193&gt;=TUAN!$C$3,J193&lt;=TUAN!$C$3+6),MAX(AB$5:AB192)+1,"")</f>
        <v/>
      </c>
    </row>
    <row r="194" customFormat="false" ht="15" hidden="false" customHeight="false" outlineLevel="0" collapsed="false">
      <c r="A194" s="9" t="str">
        <f aca="false">IF(C194="","","CV"&amp;TEXT(ROW()-5,"000"))</f>
        <v/>
      </c>
      <c r="B194" s="10"/>
      <c r="C194" s="11"/>
      <c r="D194" s="12"/>
      <c r="E194" s="12"/>
      <c r="F194" s="12"/>
      <c r="G194" s="12"/>
      <c r="H194" s="12"/>
      <c r="I194" s="12"/>
      <c r="J194" s="10"/>
      <c r="K194" s="12"/>
      <c r="L194" s="10"/>
      <c r="M194" s="12"/>
      <c r="N194" s="9" t="str">
        <f aca="false">IF(C194="","",IF(AND(H194="Có",I194="Có"),"1. Làm ngay",IF(H194="Có","2. Lên lịch",IF(I194="Có","3. Giao lại","4. Để sau"))))</f>
        <v/>
      </c>
      <c r="O194" s="9" t="str">
        <f aca="true">IF(OR(C194="",J194="",K194="Hoàn thành"),"",J194-TODAY())</f>
        <v/>
      </c>
      <c r="P194" s="9" t="str">
        <f aca="true">IF(C194="","",IF(K194="Hoàn thành",IF(OR(L194="",J194=""),"Xong (thiếu ngày)",IF(L194&lt;=J194,"Xong đúng hạn","Xong trễ")),IF(J194="","Chưa có hạn",IF(J194&lt;TODAY(),"Quá hạn",IF(J194=TODAY(),"Đến hạn hôm nay",IF(J194-TODAY()&lt;=3,"Sắp đến hạn","Trong hạn"))))))</f>
        <v/>
      </c>
      <c r="Q194" s="9" t="str">
        <f aca="false">IF(OR(C194="",J194=""),"",WEEKNUM(J194,21))</f>
        <v/>
      </c>
      <c r="R194" s="2"/>
      <c r="S194" s="9" t="str">
        <f aca="true">IF(AND(C194&lt;&gt;"",K194&lt;&gt;"Hoàn thành",J194&lt;&gt;"",J194&lt;=TODAY()),MAX(S$5:S193)+1,"")</f>
        <v/>
      </c>
      <c r="T194" s="9" t="str">
        <f aca="false">IF(AND(C194&lt;&gt;"",IF(K194="","Chưa làm",K194)="Chưa làm"),MAX(T$5:T193)+1,"")</f>
        <v/>
      </c>
      <c r="U194" s="9" t="str">
        <f aca="false">IF(AND(C194&lt;&gt;"",IF(K194="","Chưa làm",K194)="Đang làm"),MAX(U$5:U193)+1,"")</f>
        <v/>
      </c>
      <c r="V194" s="9" t="str">
        <f aca="false">IF(AND(C194&lt;&gt;"",IF(K194="","Chưa làm",K194)="Chờ duyệt"),MAX(V$5:V193)+1,"")</f>
        <v/>
      </c>
      <c r="W194" s="9" t="str">
        <f aca="false">IF(AND(C194&lt;&gt;"",IF(K194="","Chưa làm",K194)="Hoàn thành"),MAX(W$5:W193)+1,"")</f>
        <v/>
      </c>
      <c r="X194" s="9" t="str">
        <f aca="false">IF(AND(C194&lt;&gt;"",K194&lt;&gt;"Hoàn thành",N194="1. Làm ngay"),MAX(X$5:X193)+1,"")</f>
        <v/>
      </c>
      <c r="Y194" s="9" t="str">
        <f aca="false">IF(AND(C194&lt;&gt;"",K194&lt;&gt;"Hoàn thành",N194="2. Lên lịch"),MAX(Y$5:Y193)+1,"")</f>
        <v/>
      </c>
      <c r="Z194" s="9" t="str">
        <f aca="false">IF(AND(C194&lt;&gt;"",K194&lt;&gt;"Hoàn thành",N194="3. Giao lại"),MAX(Z$5:Z193)+1,"")</f>
        <v/>
      </c>
      <c r="AA194" s="9" t="str">
        <f aca="false">IF(AND(C194&lt;&gt;"",K194&lt;&gt;"Hoàn thành",N194="4. Để sau"),MAX(AA$5:AA193)+1,"")</f>
        <v/>
      </c>
      <c r="AB194" s="9" t="str">
        <f aca="false">IF(AND(C194&lt;&gt;"",J194&lt;&gt;"",J194&gt;=TUAN!$C$3,J194&lt;=TUAN!$C$3+6),MAX(AB$5:AB193)+1,"")</f>
        <v/>
      </c>
    </row>
    <row r="195" customFormat="false" ht="15" hidden="false" customHeight="false" outlineLevel="0" collapsed="false">
      <c r="A195" s="9" t="str">
        <f aca="false">IF(C195="","","CV"&amp;TEXT(ROW()-5,"000"))</f>
        <v/>
      </c>
      <c r="B195" s="10"/>
      <c r="C195" s="11"/>
      <c r="D195" s="12"/>
      <c r="E195" s="12"/>
      <c r="F195" s="12"/>
      <c r="G195" s="12"/>
      <c r="H195" s="12"/>
      <c r="I195" s="12"/>
      <c r="J195" s="10"/>
      <c r="K195" s="12"/>
      <c r="L195" s="10"/>
      <c r="M195" s="12"/>
      <c r="N195" s="9" t="str">
        <f aca="false">IF(C195="","",IF(AND(H195="Có",I195="Có"),"1. Làm ngay",IF(H195="Có","2. Lên lịch",IF(I195="Có","3. Giao lại","4. Để sau"))))</f>
        <v/>
      </c>
      <c r="O195" s="9" t="str">
        <f aca="true">IF(OR(C195="",J195="",K195="Hoàn thành"),"",J195-TODAY())</f>
        <v/>
      </c>
      <c r="P195" s="9" t="str">
        <f aca="true">IF(C195="","",IF(K195="Hoàn thành",IF(OR(L195="",J195=""),"Xong (thiếu ngày)",IF(L195&lt;=J195,"Xong đúng hạn","Xong trễ")),IF(J195="","Chưa có hạn",IF(J195&lt;TODAY(),"Quá hạn",IF(J195=TODAY(),"Đến hạn hôm nay",IF(J195-TODAY()&lt;=3,"Sắp đến hạn","Trong hạn"))))))</f>
        <v/>
      </c>
      <c r="Q195" s="9" t="str">
        <f aca="false">IF(OR(C195="",J195=""),"",WEEKNUM(J195,21))</f>
        <v/>
      </c>
      <c r="R195" s="2"/>
      <c r="S195" s="9" t="str">
        <f aca="true">IF(AND(C195&lt;&gt;"",K195&lt;&gt;"Hoàn thành",J195&lt;&gt;"",J195&lt;=TODAY()),MAX(S$5:S194)+1,"")</f>
        <v/>
      </c>
      <c r="T195" s="9" t="str">
        <f aca="false">IF(AND(C195&lt;&gt;"",IF(K195="","Chưa làm",K195)="Chưa làm"),MAX(T$5:T194)+1,"")</f>
        <v/>
      </c>
      <c r="U195" s="9" t="str">
        <f aca="false">IF(AND(C195&lt;&gt;"",IF(K195="","Chưa làm",K195)="Đang làm"),MAX(U$5:U194)+1,"")</f>
        <v/>
      </c>
      <c r="V195" s="9" t="str">
        <f aca="false">IF(AND(C195&lt;&gt;"",IF(K195="","Chưa làm",K195)="Chờ duyệt"),MAX(V$5:V194)+1,"")</f>
        <v/>
      </c>
      <c r="W195" s="9" t="str">
        <f aca="false">IF(AND(C195&lt;&gt;"",IF(K195="","Chưa làm",K195)="Hoàn thành"),MAX(W$5:W194)+1,"")</f>
        <v/>
      </c>
      <c r="X195" s="9" t="str">
        <f aca="false">IF(AND(C195&lt;&gt;"",K195&lt;&gt;"Hoàn thành",N195="1. Làm ngay"),MAX(X$5:X194)+1,"")</f>
        <v/>
      </c>
      <c r="Y195" s="9" t="str">
        <f aca="false">IF(AND(C195&lt;&gt;"",K195&lt;&gt;"Hoàn thành",N195="2. Lên lịch"),MAX(Y$5:Y194)+1,"")</f>
        <v/>
      </c>
      <c r="Z195" s="9" t="str">
        <f aca="false">IF(AND(C195&lt;&gt;"",K195&lt;&gt;"Hoàn thành",N195="3. Giao lại"),MAX(Z$5:Z194)+1,"")</f>
        <v/>
      </c>
      <c r="AA195" s="9" t="str">
        <f aca="false">IF(AND(C195&lt;&gt;"",K195&lt;&gt;"Hoàn thành",N195="4. Để sau"),MAX(AA$5:AA194)+1,"")</f>
        <v/>
      </c>
      <c r="AB195" s="9" t="str">
        <f aca="false">IF(AND(C195&lt;&gt;"",J195&lt;&gt;"",J195&gt;=TUAN!$C$3,J195&lt;=TUAN!$C$3+6),MAX(AB$5:AB194)+1,"")</f>
        <v/>
      </c>
    </row>
    <row r="196" customFormat="false" ht="15" hidden="false" customHeight="false" outlineLevel="0" collapsed="false">
      <c r="A196" s="9" t="str">
        <f aca="false">IF(C196="","","CV"&amp;TEXT(ROW()-5,"000"))</f>
        <v/>
      </c>
      <c r="B196" s="10"/>
      <c r="C196" s="11"/>
      <c r="D196" s="12"/>
      <c r="E196" s="12"/>
      <c r="F196" s="12"/>
      <c r="G196" s="12"/>
      <c r="H196" s="12"/>
      <c r="I196" s="12"/>
      <c r="J196" s="10"/>
      <c r="K196" s="12"/>
      <c r="L196" s="10"/>
      <c r="M196" s="12"/>
      <c r="N196" s="9" t="str">
        <f aca="false">IF(C196="","",IF(AND(H196="Có",I196="Có"),"1. Làm ngay",IF(H196="Có","2. Lên lịch",IF(I196="Có","3. Giao lại","4. Để sau"))))</f>
        <v/>
      </c>
      <c r="O196" s="9" t="str">
        <f aca="true">IF(OR(C196="",J196="",K196="Hoàn thành"),"",J196-TODAY())</f>
        <v/>
      </c>
      <c r="P196" s="9" t="str">
        <f aca="true">IF(C196="","",IF(K196="Hoàn thành",IF(OR(L196="",J196=""),"Xong (thiếu ngày)",IF(L196&lt;=J196,"Xong đúng hạn","Xong trễ")),IF(J196="","Chưa có hạn",IF(J196&lt;TODAY(),"Quá hạn",IF(J196=TODAY(),"Đến hạn hôm nay",IF(J196-TODAY()&lt;=3,"Sắp đến hạn","Trong hạn"))))))</f>
        <v/>
      </c>
      <c r="Q196" s="9" t="str">
        <f aca="false">IF(OR(C196="",J196=""),"",WEEKNUM(J196,21))</f>
        <v/>
      </c>
      <c r="R196" s="2"/>
      <c r="S196" s="9" t="str">
        <f aca="true">IF(AND(C196&lt;&gt;"",K196&lt;&gt;"Hoàn thành",J196&lt;&gt;"",J196&lt;=TODAY()),MAX(S$5:S195)+1,"")</f>
        <v/>
      </c>
      <c r="T196" s="9" t="str">
        <f aca="false">IF(AND(C196&lt;&gt;"",IF(K196="","Chưa làm",K196)="Chưa làm"),MAX(T$5:T195)+1,"")</f>
        <v/>
      </c>
      <c r="U196" s="9" t="str">
        <f aca="false">IF(AND(C196&lt;&gt;"",IF(K196="","Chưa làm",K196)="Đang làm"),MAX(U$5:U195)+1,"")</f>
        <v/>
      </c>
      <c r="V196" s="9" t="str">
        <f aca="false">IF(AND(C196&lt;&gt;"",IF(K196="","Chưa làm",K196)="Chờ duyệt"),MAX(V$5:V195)+1,"")</f>
        <v/>
      </c>
      <c r="W196" s="9" t="str">
        <f aca="false">IF(AND(C196&lt;&gt;"",IF(K196="","Chưa làm",K196)="Hoàn thành"),MAX(W$5:W195)+1,"")</f>
        <v/>
      </c>
      <c r="X196" s="9" t="str">
        <f aca="false">IF(AND(C196&lt;&gt;"",K196&lt;&gt;"Hoàn thành",N196="1. Làm ngay"),MAX(X$5:X195)+1,"")</f>
        <v/>
      </c>
      <c r="Y196" s="9" t="str">
        <f aca="false">IF(AND(C196&lt;&gt;"",K196&lt;&gt;"Hoàn thành",N196="2. Lên lịch"),MAX(Y$5:Y195)+1,"")</f>
        <v/>
      </c>
      <c r="Z196" s="9" t="str">
        <f aca="false">IF(AND(C196&lt;&gt;"",K196&lt;&gt;"Hoàn thành",N196="3. Giao lại"),MAX(Z$5:Z195)+1,"")</f>
        <v/>
      </c>
      <c r="AA196" s="9" t="str">
        <f aca="false">IF(AND(C196&lt;&gt;"",K196&lt;&gt;"Hoàn thành",N196="4. Để sau"),MAX(AA$5:AA195)+1,"")</f>
        <v/>
      </c>
      <c r="AB196" s="9" t="str">
        <f aca="false">IF(AND(C196&lt;&gt;"",J196&lt;&gt;"",J196&gt;=TUAN!$C$3,J196&lt;=TUAN!$C$3+6),MAX(AB$5:AB195)+1,"")</f>
        <v/>
      </c>
    </row>
    <row r="197" customFormat="false" ht="15" hidden="false" customHeight="false" outlineLevel="0" collapsed="false">
      <c r="A197" s="9" t="str">
        <f aca="false">IF(C197="","","CV"&amp;TEXT(ROW()-5,"000"))</f>
        <v/>
      </c>
      <c r="B197" s="10"/>
      <c r="C197" s="11"/>
      <c r="D197" s="12"/>
      <c r="E197" s="12"/>
      <c r="F197" s="12"/>
      <c r="G197" s="12"/>
      <c r="H197" s="12"/>
      <c r="I197" s="12"/>
      <c r="J197" s="10"/>
      <c r="K197" s="12"/>
      <c r="L197" s="10"/>
      <c r="M197" s="12"/>
      <c r="N197" s="9" t="str">
        <f aca="false">IF(C197="","",IF(AND(H197="Có",I197="Có"),"1. Làm ngay",IF(H197="Có","2. Lên lịch",IF(I197="Có","3. Giao lại","4. Để sau"))))</f>
        <v/>
      </c>
      <c r="O197" s="9" t="str">
        <f aca="true">IF(OR(C197="",J197="",K197="Hoàn thành"),"",J197-TODAY())</f>
        <v/>
      </c>
      <c r="P197" s="9" t="str">
        <f aca="true">IF(C197="","",IF(K197="Hoàn thành",IF(OR(L197="",J197=""),"Xong (thiếu ngày)",IF(L197&lt;=J197,"Xong đúng hạn","Xong trễ")),IF(J197="","Chưa có hạn",IF(J197&lt;TODAY(),"Quá hạn",IF(J197=TODAY(),"Đến hạn hôm nay",IF(J197-TODAY()&lt;=3,"Sắp đến hạn","Trong hạn"))))))</f>
        <v/>
      </c>
      <c r="Q197" s="9" t="str">
        <f aca="false">IF(OR(C197="",J197=""),"",WEEKNUM(J197,21))</f>
        <v/>
      </c>
      <c r="R197" s="2"/>
      <c r="S197" s="9" t="str">
        <f aca="true">IF(AND(C197&lt;&gt;"",K197&lt;&gt;"Hoàn thành",J197&lt;&gt;"",J197&lt;=TODAY()),MAX(S$5:S196)+1,"")</f>
        <v/>
      </c>
      <c r="T197" s="9" t="str">
        <f aca="false">IF(AND(C197&lt;&gt;"",IF(K197="","Chưa làm",K197)="Chưa làm"),MAX(T$5:T196)+1,"")</f>
        <v/>
      </c>
      <c r="U197" s="9" t="str">
        <f aca="false">IF(AND(C197&lt;&gt;"",IF(K197="","Chưa làm",K197)="Đang làm"),MAX(U$5:U196)+1,"")</f>
        <v/>
      </c>
      <c r="V197" s="9" t="str">
        <f aca="false">IF(AND(C197&lt;&gt;"",IF(K197="","Chưa làm",K197)="Chờ duyệt"),MAX(V$5:V196)+1,"")</f>
        <v/>
      </c>
      <c r="W197" s="9" t="str">
        <f aca="false">IF(AND(C197&lt;&gt;"",IF(K197="","Chưa làm",K197)="Hoàn thành"),MAX(W$5:W196)+1,"")</f>
        <v/>
      </c>
      <c r="X197" s="9" t="str">
        <f aca="false">IF(AND(C197&lt;&gt;"",K197&lt;&gt;"Hoàn thành",N197="1. Làm ngay"),MAX(X$5:X196)+1,"")</f>
        <v/>
      </c>
      <c r="Y197" s="9" t="str">
        <f aca="false">IF(AND(C197&lt;&gt;"",K197&lt;&gt;"Hoàn thành",N197="2. Lên lịch"),MAX(Y$5:Y196)+1,"")</f>
        <v/>
      </c>
      <c r="Z197" s="9" t="str">
        <f aca="false">IF(AND(C197&lt;&gt;"",K197&lt;&gt;"Hoàn thành",N197="3. Giao lại"),MAX(Z$5:Z196)+1,"")</f>
        <v/>
      </c>
      <c r="AA197" s="9" t="str">
        <f aca="false">IF(AND(C197&lt;&gt;"",K197&lt;&gt;"Hoàn thành",N197="4. Để sau"),MAX(AA$5:AA196)+1,"")</f>
        <v/>
      </c>
      <c r="AB197" s="9" t="str">
        <f aca="false">IF(AND(C197&lt;&gt;"",J197&lt;&gt;"",J197&gt;=TUAN!$C$3,J197&lt;=TUAN!$C$3+6),MAX(AB$5:AB196)+1,"")</f>
        <v/>
      </c>
    </row>
    <row r="198" customFormat="false" ht="15" hidden="false" customHeight="false" outlineLevel="0" collapsed="false">
      <c r="A198" s="9" t="str">
        <f aca="false">IF(C198="","","CV"&amp;TEXT(ROW()-5,"000"))</f>
        <v/>
      </c>
      <c r="B198" s="10"/>
      <c r="C198" s="11"/>
      <c r="D198" s="12"/>
      <c r="E198" s="12"/>
      <c r="F198" s="12"/>
      <c r="G198" s="12"/>
      <c r="H198" s="12"/>
      <c r="I198" s="12"/>
      <c r="J198" s="10"/>
      <c r="K198" s="12"/>
      <c r="L198" s="10"/>
      <c r="M198" s="12"/>
      <c r="N198" s="9" t="str">
        <f aca="false">IF(C198="","",IF(AND(H198="Có",I198="Có"),"1. Làm ngay",IF(H198="Có","2. Lên lịch",IF(I198="Có","3. Giao lại","4. Để sau"))))</f>
        <v/>
      </c>
      <c r="O198" s="9" t="str">
        <f aca="true">IF(OR(C198="",J198="",K198="Hoàn thành"),"",J198-TODAY())</f>
        <v/>
      </c>
      <c r="P198" s="9" t="str">
        <f aca="true">IF(C198="","",IF(K198="Hoàn thành",IF(OR(L198="",J198=""),"Xong (thiếu ngày)",IF(L198&lt;=J198,"Xong đúng hạn","Xong trễ")),IF(J198="","Chưa có hạn",IF(J198&lt;TODAY(),"Quá hạn",IF(J198=TODAY(),"Đến hạn hôm nay",IF(J198-TODAY()&lt;=3,"Sắp đến hạn","Trong hạn"))))))</f>
        <v/>
      </c>
      <c r="Q198" s="9" t="str">
        <f aca="false">IF(OR(C198="",J198=""),"",WEEKNUM(J198,21))</f>
        <v/>
      </c>
      <c r="R198" s="2"/>
      <c r="S198" s="9" t="str">
        <f aca="true">IF(AND(C198&lt;&gt;"",K198&lt;&gt;"Hoàn thành",J198&lt;&gt;"",J198&lt;=TODAY()),MAX(S$5:S197)+1,"")</f>
        <v/>
      </c>
      <c r="T198" s="9" t="str">
        <f aca="false">IF(AND(C198&lt;&gt;"",IF(K198="","Chưa làm",K198)="Chưa làm"),MAX(T$5:T197)+1,"")</f>
        <v/>
      </c>
      <c r="U198" s="9" t="str">
        <f aca="false">IF(AND(C198&lt;&gt;"",IF(K198="","Chưa làm",K198)="Đang làm"),MAX(U$5:U197)+1,"")</f>
        <v/>
      </c>
      <c r="V198" s="9" t="str">
        <f aca="false">IF(AND(C198&lt;&gt;"",IF(K198="","Chưa làm",K198)="Chờ duyệt"),MAX(V$5:V197)+1,"")</f>
        <v/>
      </c>
      <c r="W198" s="9" t="str">
        <f aca="false">IF(AND(C198&lt;&gt;"",IF(K198="","Chưa làm",K198)="Hoàn thành"),MAX(W$5:W197)+1,"")</f>
        <v/>
      </c>
      <c r="X198" s="9" t="str">
        <f aca="false">IF(AND(C198&lt;&gt;"",K198&lt;&gt;"Hoàn thành",N198="1. Làm ngay"),MAX(X$5:X197)+1,"")</f>
        <v/>
      </c>
      <c r="Y198" s="9" t="str">
        <f aca="false">IF(AND(C198&lt;&gt;"",K198&lt;&gt;"Hoàn thành",N198="2. Lên lịch"),MAX(Y$5:Y197)+1,"")</f>
        <v/>
      </c>
      <c r="Z198" s="9" t="str">
        <f aca="false">IF(AND(C198&lt;&gt;"",K198&lt;&gt;"Hoàn thành",N198="3. Giao lại"),MAX(Z$5:Z197)+1,"")</f>
        <v/>
      </c>
      <c r="AA198" s="9" t="str">
        <f aca="false">IF(AND(C198&lt;&gt;"",K198&lt;&gt;"Hoàn thành",N198="4. Để sau"),MAX(AA$5:AA197)+1,"")</f>
        <v/>
      </c>
      <c r="AB198" s="9" t="str">
        <f aca="false">IF(AND(C198&lt;&gt;"",J198&lt;&gt;"",J198&gt;=TUAN!$C$3,J198&lt;=TUAN!$C$3+6),MAX(AB$5:AB197)+1,"")</f>
        <v/>
      </c>
    </row>
    <row r="199" customFormat="false" ht="15" hidden="false" customHeight="false" outlineLevel="0" collapsed="false">
      <c r="A199" s="9" t="str">
        <f aca="false">IF(C199="","","CV"&amp;TEXT(ROW()-5,"000"))</f>
        <v/>
      </c>
      <c r="B199" s="10"/>
      <c r="C199" s="11"/>
      <c r="D199" s="12"/>
      <c r="E199" s="12"/>
      <c r="F199" s="12"/>
      <c r="G199" s="12"/>
      <c r="H199" s="12"/>
      <c r="I199" s="12"/>
      <c r="J199" s="10"/>
      <c r="K199" s="12"/>
      <c r="L199" s="10"/>
      <c r="M199" s="12"/>
      <c r="N199" s="9" t="str">
        <f aca="false">IF(C199="","",IF(AND(H199="Có",I199="Có"),"1. Làm ngay",IF(H199="Có","2. Lên lịch",IF(I199="Có","3. Giao lại","4. Để sau"))))</f>
        <v/>
      </c>
      <c r="O199" s="9" t="str">
        <f aca="true">IF(OR(C199="",J199="",K199="Hoàn thành"),"",J199-TODAY())</f>
        <v/>
      </c>
      <c r="P199" s="9" t="str">
        <f aca="true">IF(C199="","",IF(K199="Hoàn thành",IF(OR(L199="",J199=""),"Xong (thiếu ngày)",IF(L199&lt;=J199,"Xong đúng hạn","Xong trễ")),IF(J199="","Chưa có hạn",IF(J199&lt;TODAY(),"Quá hạn",IF(J199=TODAY(),"Đến hạn hôm nay",IF(J199-TODAY()&lt;=3,"Sắp đến hạn","Trong hạn"))))))</f>
        <v/>
      </c>
      <c r="Q199" s="9" t="str">
        <f aca="false">IF(OR(C199="",J199=""),"",WEEKNUM(J199,21))</f>
        <v/>
      </c>
      <c r="R199" s="2"/>
      <c r="S199" s="9" t="str">
        <f aca="true">IF(AND(C199&lt;&gt;"",K199&lt;&gt;"Hoàn thành",J199&lt;&gt;"",J199&lt;=TODAY()),MAX(S$5:S198)+1,"")</f>
        <v/>
      </c>
      <c r="T199" s="9" t="str">
        <f aca="false">IF(AND(C199&lt;&gt;"",IF(K199="","Chưa làm",K199)="Chưa làm"),MAX(T$5:T198)+1,"")</f>
        <v/>
      </c>
      <c r="U199" s="9" t="str">
        <f aca="false">IF(AND(C199&lt;&gt;"",IF(K199="","Chưa làm",K199)="Đang làm"),MAX(U$5:U198)+1,"")</f>
        <v/>
      </c>
      <c r="V199" s="9" t="str">
        <f aca="false">IF(AND(C199&lt;&gt;"",IF(K199="","Chưa làm",K199)="Chờ duyệt"),MAX(V$5:V198)+1,"")</f>
        <v/>
      </c>
      <c r="W199" s="9" t="str">
        <f aca="false">IF(AND(C199&lt;&gt;"",IF(K199="","Chưa làm",K199)="Hoàn thành"),MAX(W$5:W198)+1,"")</f>
        <v/>
      </c>
      <c r="X199" s="9" t="str">
        <f aca="false">IF(AND(C199&lt;&gt;"",K199&lt;&gt;"Hoàn thành",N199="1. Làm ngay"),MAX(X$5:X198)+1,"")</f>
        <v/>
      </c>
      <c r="Y199" s="9" t="str">
        <f aca="false">IF(AND(C199&lt;&gt;"",K199&lt;&gt;"Hoàn thành",N199="2. Lên lịch"),MAX(Y$5:Y198)+1,"")</f>
        <v/>
      </c>
      <c r="Z199" s="9" t="str">
        <f aca="false">IF(AND(C199&lt;&gt;"",K199&lt;&gt;"Hoàn thành",N199="3. Giao lại"),MAX(Z$5:Z198)+1,"")</f>
        <v/>
      </c>
      <c r="AA199" s="9" t="str">
        <f aca="false">IF(AND(C199&lt;&gt;"",K199&lt;&gt;"Hoàn thành",N199="4. Để sau"),MAX(AA$5:AA198)+1,"")</f>
        <v/>
      </c>
      <c r="AB199" s="9" t="str">
        <f aca="false">IF(AND(C199&lt;&gt;"",J199&lt;&gt;"",J199&gt;=TUAN!$C$3,J199&lt;=TUAN!$C$3+6),MAX(AB$5:AB198)+1,"")</f>
        <v/>
      </c>
    </row>
    <row r="200" customFormat="false" ht="15" hidden="false" customHeight="false" outlineLevel="0" collapsed="false">
      <c r="A200" s="9" t="str">
        <f aca="false">IF(C200="","","CV"&amp;TEXT(ROW()-5,"000"))</f>
        <v/>
      </c>
      <c r="B200" s="10"/>
      <c r="C200" s="11"/>
      <c r="D200" s="12"/>
      <c r="E200" s="12"/>
      <c r="F200" s="12"/>
      <c r="G200" s="12"/>
      <c r="H200" s="12"/>
      <c r="I200" s="12"/>
      <c r="J200" s="10"/>
      <c r="K200" s="12"/>
      <c r="L200" s="10"/>
      <c r="M200" s="12"/>
      <c r="N200" s="9" t="str">
        <f aca="false">IF(C200="","",IF(AND(H200="Có",I200="Có"),"1. Làm ngay",IF(H200="Có","2. Lên lịch",IF(I200="Có","3. Giao lại","4. Để sau"))))</f>
        <v/>
      </c>
      <c r="O200" s="9" t="str">
        <f aca="true">IF(OR(C200="",J200="",K200="Hoàn thành"),"",J200-TODAY())</f>
        <v/>
      </c>
      <c r="P200" s="9" t="str">
        <f aca="true">IF(C200="","",IF(K200="Hoàn thành",IF(OR(L200="",J200=""),"Xong (thiếu ngày)",IF(L200&lt;=J200,"Xong đúng hạn","Xong trễ")),IF(J200="","Chưa có hạn",IF(J200&lt;TODAY(),"Quá hạn",IF(J200=TODAY(),"Đến hạn hôm nay",IF(J200-TODAY()&lt;=3,"Sắp đến hạn","Trong hạn"))))))</f>
        <v/>
      </c>
      <c r="Q200" s="9" t="str">
        <f aca="false">IF(OR(C200="",J200=""),"",WEEKNUM(J200,21))</f>
        <v/>
      </c>
      <c r="R200" s="2"/>
      <c r="S200" s="9" t="str">
        <f aca="true">IF(AND(C200&lt;&gt;"",K200&lt;&gt;"Hoàn thành",J200&lt;&gt;"",J200&lt;=TODAY()),MAX(S$5:S199)+1,"")</f>
        <v/>
      </c>
      <c r="T200" s="9" t="str">
        <f aca="false">IF(AND(C200&lt;&gt;"",IF(K200="","Chưa làm",K200)="Chưa làm"),MAX(T$5:T199)+1,"")</f>
        <v/>
      </c>
      <c r="U200" s="9" t="str">
        <f aca="false">IF(AND(C200&lt;&gt;"",IF(K200="","Chưa làm",K200)="Đang làm"),MAX(U$5:U199)+1,"")</f>
        <v/>
      </c>
      <c r="V200" s="9" t="str">
        <f aca="false">IF(AND(C200&lt;&gt;"",IF(K200="","Chưa làm",K200)="Chờ duyệt"),MAX(V$5:V199)+1,"")</f>
        <v/>
      </c>
      <c r="W200" s="9" t="str">
        <f aca="false">IF(AND(C200&lt;&gt;"",IF(K200="","Chưa làm",K200)="Hoàn thành"),MAX(W$5:W199)+1,"")</f>
        <v/>
      </c>
      <c r="X200" s="9" t="str">
        <f aca="false">IF(AND(C200&lt;&gt;"",K200&lt;&gt;"Hoàn thành",N200="1. Làm ngay"),MAX(X$5:X199)+1,"")</f>
        <v/>
      </c>
      <c r="Y200" s="9" t="str">
        <f aca="false">IF(AND(C200&lt;&gt;"",K200&lt;&gt;"Hoàn thành",N200="2. Lên lịch"),MAX(Y$5:Y199)+1,"")</f>
        <v/>
      </c>
      <c r="Z200" s="9" t="str">
        <f aca="false">IF(AND(C200&lt;&gt;"",K200&lt;&gt;"Hoàn thành",N200="3. Giao lại"),MAX(Z$5:Z199)+1,"")</f>
        <v/>
      </c>
      <c r="AA200" s="9" t="str">
        <f aca="false">IF(AND(C200&lt;&gt;"",K200&lt;&gt;"Hoàn thành",N200="4. Để sau"),MAX(AA$5:AA199)+1,"")</f>
        <v/>
      </c>
      <c r="AB200" s="9" t="str">
        <f aca="false">IF(AND(C200&lt;&gt;"",J200&lt;&gt;"",J200&gt;=TUAN!$C$3,J200&lt;=TUAN!$C$3+6),MAX(AB$5:AB199)+1,"")</f>
        <v/>
      </c>
    </row>
    <row r="201" customFormat="false" ht="15" hidden="false" customHeight="false" outlineLevel="0" collapsed="false">
      <c r="A201" s="9" t="str">
        <f aca="false">IF(C201="","","CV"&amp;TEXT(ROW()-5,"000"))</f>
        <v/>
      </c>
      <c r="B201" s="10"/>
      <c r="C201" s="11"/>
      <c r="D201" s="12"/>
      <c r="E201" s="12"/>
      <c r="F201" s="12"/>
      <c r="G201" s="12"/>
      <c r="H201" s="12"/>
      <c r="I201" s="12"/>
      <c r="J201" s="10"/>
      <c r="K201" s="12"/>
      <c r="L201" s="10"/>
      <c r="M201" s="12"/>
      <c r="N201" s="9" t="str">
        <f aca="false">IF(C201="","",IF(AND(H201="Có",I201="Có"),"1. Làm ngay",IF(H201="Có","2. Lên lịch",IF(I201="Có","3. Giao lại","4. Để sau"))))</f>
        <v/>
      </c>
      <c r="O201" s="9" t="str">
        <f aca="true">IF(OR(C201="",J201="",K201="Hoàn thành"),"",J201-TODAY())</f>
        <v/>
      </c>
      <c r="P201" s="9" t="str">
        <f aca="true">IF(C201="","",IF(K201="Hoàn thành",IF(OR(L201="",J201=""),"Xong (thiếu ngày)",IF(L201&lt;=J201,"Xong đúng hạn","Xong trễ")),IF(J201="","Chưa có hạn",IF(J201&lt;TODAY(),"Quá hạn",IF(J201=TODAY(),"Đến hạn hôm nay",IF(J201-TODAY()&lt;=3,"Sắp đến hạn","Trong hạn"))))))</f>
        <v/>
      </c>
      <c r="Q201" s="9" t="str">
        <f aca="false">IF(OR(C201="",J201=""),"",WEEKNUM(J201,21))</f>
        <v/>
      </c>
      <c r="R201" s="2"/>
      <c r="S201" s="9" t="str">
        <f aca="true">IF(AND(C201&lt;&gt;"",K201&lt;&gt;"Hoàn thành",J201&lt;&gt;"",J201&lt;=TODAY()),MAX(S$5:S200)+1,"")</f>
        <v/>
      </c>
      <c r="T201" s="9" t="str">
        <f aca="false">IF(AND(C201&lt;&gt;"",IF(K201="","Chưa làm",K201)="Chưa làm"),MAX(T$5:T200)+1,"")</f>
        <v/>
      </c>
      <c r="U201" s="9" t="str">
        <f aca="false">IF(AND(C201&lt;&gt;"",IF(K201="","Chưa làm",K201)="Đang làm"),MAX(U$5:U200)+1,"")</f>
        <v/>
      </c>
      <c r="V201" s="9" t="str">
        <f aca="false">IF(AND(C201&lt;&gt;"",IF(K201="","Chưa làm",K201)="Chờ duyệt"),MAX(V$5:V200)+1,"")</f>
        <v/>
      </c>
      <c r="W201" s="9" t="str">
        <f aca="false">IF(AND(C201&lt;&gt;"",IF(K201="","Chưa làm",K201)="Hoàn thành"),MAX(W$5:W200)+1,"")</f>
        <v/>
      </c>
      <c r="X201" s="9" t="str">
        <f aca="false">IF(AND(C201&lt;&gt;"",K201&lt;&gt;"Hoàn thành",N201="1. Làm ngay"),MAX(X$5:X200)+1,"")</f>
        <v/>
      </c>
      <c r="Y201" s="9" t="str">
        <f aca="false">IF(AND(C201&lt;&gt;"",K201&lt;&gt;"Hoàn thành",N201="2. Lên lịch"),MAX(Y$5:Y200)+1,"")</f>
        <v/>
      </c>
      <c r="Z201" s="9" t="str">
        <f aca="false">IF(AND(C201&lt;&gt;"",K201&lt;&gt;"Hoàn thành",N201="3. Giao lại"),MAX(Z$5:Z200)+1,"")</f>
        <v/>
      </c>
      <c r="AA201" s="9" t="str">
        <f aca="false">IF(AND(C201&lt;&gt;"",K201&lt;&gt;"Hoàn thành",N201="4. Để sau"),MAX(AA$5:AA200)+1,"")</f>
        <v/>
      </c>
      <c r="AB201" s="9" t="str">
        <f aca="false">IF(AND(C201&lt;&gt;"",J201&lt;&gt;"",J201&gt;=TUAN!$C$3,J201&lt;=TUAN!$C$3+6),MAX(AB$5:AB200)+1,"")</f>
        <v/>
      </c>
    </row>
    <row r="202" customFormat="false" ht="15" hidden="false" customHeight="false" outlineLevel="0" collapsed="false">
      <c r="A202" s="9" t="str">
        <f aca="false">IF(C202="","","CV"&amp;TEXT(ROW()-5,"000"))</f>
        <v/>
      </c>
      <c r="B202" s="10"/>
      <c r="C202" s="11"/>
      <c r="D202" s="12"/>
      <c r="E202" s="12"/>
      <c r="F202" s="12"/>
      <c r="G202" s="12"/>
      <c r="H202" s="12"/>
      <c r="I202" s="12"/>
      <c r="J202" s="10"/>
      <c r="K202" s="12"/>
      <c r="L202" s="10"/>
      <c r="M202" s="12"/>
      <c r="N202" s="9" t="str">
        <f aca="false">IF(C202="","",IF(AND(H202="Có",I202="Có"),"1. Làm ngay",IF(H202="Có","2. Lên lịch",IF(I202="Có","3. Giao lại","4. Để sau"))))</f>
        <v/>
      </c>
      <c r="O202" s="9" t="str">
        <f aca="true">IF(OR(C202="",J202="",K202="Hoàn thành"),"",J202-TODAY())</f>
        <v/>
      </c>
      <c r="P202" s="9" t="str">
        <f aca="true">IF(C202="","",IF(K202="Hoàn thành",IF(OR(L202="",J202=""),"Xong (thiếu ngày)",IF(L202&lt;=J202,"Xong đúng hạn","Xong trễ")),IF(J202="","Chưa có hạn",IF(J202&lt;TODAY(),"Quá hạn",IF(J202=TODAY(),"Đến hạn hôm nay",IF(J202-TODAY()&lt;=3,"Sắp đến hạn","Trong hạn"))))))</f>
        <v/>
      </c>
      <c r="Q202" s="9" t="str">
        <f aca="false">IF(OR(C202="",J202=""),"",WEEKNUM(J202,21))</f>
        <v/>
      </c>
      <c r="R202" s="2"/>
      <c r="S202" s="9" t="str">
        <f aca="true">IF(AND(C202&lt;&gt;"",K202&lt;&gt;"Hoàn thành",J202&lt;&gt;"",J202&lt;=TODAY()),MAX(S$5:S201)+1,"")</f>
        <v/>
      </c>
      <c r="T202" s="9" t="str">
        <f aca="false">IF(AND(C202&lt;&gt;"",IF(K202="","Chưa làm",K202)="Chưa làm"),MAX(T$5:T201)+1,"")</f>
        <v/>
      </c>
      <c r="U202" s="9" t="str">
        <f aca="false">IF(AND(C202&lt;&gt;"",IF(K202="","Chưa làm",K202)="Đang làm"),MAX(U$5:U201)+1,"")</f>
        <v/>
      </c>
      <c r="V202" s="9" t="str">
        <f aca="false">IF(AND(C202&lt;&gt;"",IF(K202="","Chưa làm",K202)="Chờ duyệt"),MAX(V$5:V201)+1,"")</f>
        <v/>
      </c>
      <c r="W202" s="9" t="str">
        <f aca="false">IF(AND(C202&lt;&gt;"",IF(K202="","Chưa làm",K202)="Hoàn thành"),MAX(W$5:W201)+1,"")</f>
        <v/>
      </c>
      <c r="X202" s="9" t="str">
        <f aca="false">IF(AND(C202&lt;&gt;"",K202&lt;&gt;"Hoàn thành",N202="1. Làm ngay"),MAX(X$5:X201)+1,"")</f>
        <v/>
      </c>
      <c r="Y202" s="9" t="str">
        <f aca="false">IF(AND(C202&lt;&gt;"",K202&lt;&gt;"Hoàn thành",N202="2. Lên lịch"),MAX(Y$5:Y201)+1,"")</f>
        <v/>
      </c>
      <c r="Z202" s="9" t="str">
        <f aca="false">IF(AND(C202&lt;&gt;"",K202&lt;&gt;"Hoàn thành",N202="3. Giao lại"),MAX(Z$5:Z201)+1,"")</f>
        <v/>
      </c>
      <c r="AA202" s="9" t="str">
        <f aca="false">IF(AND(C202&lt;&gt;"",K202&lt;&gt;"Hoàn thành",N202="4. Để sau"),MAX(AA$5:AA201)+1,"")</f>
        <v/>
      </c>
      <c r="AB202" s="9" t="str">
        <f aca="false">IF(AND(C202&lt;&gt;"",J202&lt;&gt;"",J202&gt;=TUAN!$C$3,J202&lt;=TUAN!$C$3+6),MAX(AB$5:AB201)+1,"")</f>
        <v/>
      </c>
    </row>
    <row r="203" customFormat="false" ht="15" hidden="false" customHeight="false" outlineLevel="0" collapsed="false">
      <c r="A203" s="9" t="str">
        <f aca="false">IF(C203="","","CV"&amp;TEXT(ROW()-5,"000"))</f>
        <v/>
      </c>
      <c r="B203" s="10"/>
      <c r="C203" s="11"/>
      <c r="D203" s="12"/>
      <c r="E203" s="12"/>
      <c r="F203" s="12"/>
      <c r="G203" s="12"/>
      <c r="H203" s="12"/>
      <c r="I203" s="12"/>
      <c r="J203" s="10"/>
      <c r="K203" s="12"/>
      <c r="L203" s="10"/>
      <c r="M203" s="12"/>
      <c r="N203" s="9" t="str">
        <f aca="false">IF(C203="","",IF(AND(H203="Có",I203="Có"),"1. Làm ngay",IF(H203="Có","2. Lên lịch",IF(I203="Có","3. Giao lại","4. Để sau"))))</f>
        <v/>
      </c>
      <c r="O203" s="9" t="str">
        <f aca="true">IF(OR(C203="",J203="",K203="Hoàn thành"),"",J203-TODAY())</f>
        <v/>
      </c>
      <c r="P203" s="9" t="str">
        <f aca="true">IF(C203="","",IF(K203="Hoàn thành",IF(OR(L203="",J203=""),"Xong (thiếu ngày)",IF(L203&lt;=J203,"Xong đúng hạn","Xong trễ")),IF(J203="","Chưa có hạn",IF(J203&lt;TODAY(),"Quá hạn",IF(J203=TODAY(),"Đến hạn hôm nay",IF(J203-TODAY()&lt;=3,"Sắp đến hạn","Trong hạn"))))))</f>
        <v/>
      </c>
      <c r="Q203" s="9" t="str">
        <f aca="false">IF(OR(C203="",J203=""),"",WEEKNUM(J203,21))</f>
        <v/>
      </c>
      <c r="R203" s="2"/>
      <c r="S203" s="9" t="str">
        <f aca="true">IF(AND(C203&lt;&gt;"",K203&lt;&gt;"Hoàn thành",J203&lt;&gt;"",J203&lt;=TODAY()),MAX(S$5:S202)+1,"")</f>
        <v/>
      </c>
      <c r="T203" s="9" t="str">
        <f aca="false">IF(AND(C203&lt;&gt;"",IF(K203="","Chưa làm",K203)="Chưa làm"),MAX(T$5:T202)+1,"")</f>
        <v/>
      </c>
      <c r="U203" s="9" t="str">
        <f aca="false">IF(AND(C203&lt;&gt;"",IF(K203="","Chưa làm",K203)="Đang làm"),MAX(U$5:U202)+1,"")</f>
        <v/>
      </c>
      <c r="V203" s="9" t="str">
        <f aca="false">IF(AND(C203&lt;&gt;"",IF(K203="","Chưa làm",K203)="Chờ duyệt"),MAX(V$5:V202)+1,"")</f>
        <v/>
      </c>
      <c r="W203" s="9" t="str">
        <f aca="false">IF(AND(C203&lt;&gt;"",IF(K203="","Chưa làm",K203)="Hoàn thành"),MAX(W$5:W202)+1,"")</f>
        <v/>
      </c>
      <c r="X203" s="9" t="str">
        <f aca="false">IF(AND(C203&lt;&gt;"",K203&lt;&gt;"Hoàn thành",N203="1. Làm ngay"),MAX(X$5:X202)+1,"")</f>
        <v/>
      </c>
      <c r="Y203" s="9" t="str">
        <f aca="false">IF(AND(C203&lt;&gt;"",K203&lt;&gt;"Hoàn thành",N203="2. Lên lịch"),MAX(Y$5:Y202)+1,"")</f>
        <v/>
      </c>
      <c r="Z203" s="9" t="str">
        <f aca="false">IF(AND(C203&lt;&gt;"",K203&lt;&gt;"Hoàn thành",N203="3. Giao lại"),MAX(Z$5:Z202)+1,"")</f>
        <v/>
      </c>
      <c r="AA203" s="9" t="str">
        <f aca="false">IF(AND(C203&lt;&gt;"",K203&lt;&gt;"Hoàn thành",N203="4. Để sau"),MAX(AA$5:AA202)+1,"")</f>
        <v/>
      </c>
      <c r="AB203" s="9" t="str">
        <f aca="false">IF(AND(C203&lt;&gt;"",J203&lt;&gt;"",J203&gt;=TUAN!$C$3,J203&lt;=TUAN!$C$3+6),MAX(AB$5:AB202)+1,"")</f>
        <v/>
      </c>
    </row>
    <row r="204" customFormat="false" ht="15" hidden="false" customHeight="false" outlineLevel="0" collapsed="false">
      <c r="A204" s="9" t="str">
        <f aca="false">IF(C204="","","CV"&amp;TEXT(ROW()-5,"000"))</f>
        <v/>
      </c>
      <c r="B204" s="10"/>
      <c r="C204" s="11"/>
      <c r="D204" s="12"/>
      <c r="E204" s="12"/>
      <c r="F204" s="12"/>
      <c r="G204" s="12"/>
      <c r="H204" s="12"/>
      <c r="I204" s="12"/>
      <c r="J204" s="10"/>
      <c r="K204" s="12"/>
      <c r="L204" s="10"/>
      <c r="M204" s="12"/>
      <c r="N204" s="9" t="str">
        <f aca="false">IF(C204="","",IF(AND(H204="Có",I204="Có"),"1. Làm ngay",IF(H204="Có","2. Lên lịch",IF(I204="Có","3. Giao lại","4. Để sau"))))</f>
        <v/>
      </c>
      <c r="O204" s="9" t="str">
        <f aca="true">IF(OR(C204="",J204="",K204="Hoàn thành"),"",J204-TODAY())</f>
        <v/>
      </c>
      <c r="P204" s="9" t="str">
        <f aca="true">IF(C204="","",IF(K204="Hoàn thành",IF(OR(L204="",J204=""),"Xong (thiếu ngày)",IF(L204&lt;=J204,"Xong đúng hạn","Xong trễ")),IF(J204="","Chưa có hạn",IF(J204&lt;TODAY(),"Quá hạn",IF(J204=TODAY(),"Đến hạn hôm nay",IF(J204-TODAY()&lt;=3,"Sắp đến hạn","Trong hạn"))))))</f>
        <v/>
      </c>
      <c r="Q204" s="9" t="str">
        <f aca="false">IF(OR(C204="",J204=""),"",WEEKNUM(J204,21))</f>
        <v/>
      </c>
      <c r="R204" s="2"/>
      <c r="S204" s="9" t="str">
        <f aca="true">IF(AND(C204&lt;&gt;"",K204&lt;&gt;"Hoàn thành",J204&lt;&gt;"",J204&lt;=TODAY()),MAX(S$5:S203)+1,"")</f>
        <v/>
      </c>
      <c r="T204" s="9" t="str">
        <f aca="false">IF(AND(C204&lt;&gt;"",IF(K204="","Chưa làm",K204)="Chưa làm"),MAX(T$5:T203)+1,"")</f>
        <v/>
      </c>
      <c r="U204" s="9" t="str">
        <f aca="false">IF(AND(C204&lt;&gt;"",IF(K204="","Chưa làm",K204)="Đang làm"),MAX(U$5:U203)+1,"")</f>
        <v/>
      </c>
      <c r="V204" s="9" t="str">
        <f aca="false">IF(AND(C204&lt;&gt;"",IF(K204="","Chưa làm",K204)="Chờ duyệt"),MAX(V$5:V203)+1,"")</f>
        <v/>
      </c>
      <c r="W204" s="9" t="str">
        <f aca="false">IF(AND(C204&lt;&gt;"",IF(K204="","Chưa làm",K204)="Hoàn thành"),MAX(W$5:W203)+1,"")</f>
        <v/>
      </c>
      <c r="X204" s="9" t="str">
        <f aca="false">IF(AND(C204&lt;&gt;"",K204&lt;&gt;"Hoàn thành",N204="1. Làm ngay"),MAX(X$5:X203)+1,"")</f>
        <v/>
      </c>
      <c r="Y204" s="9" t="str">
        <f aca="false">IF(AND(C204&lt;&gt;"",K204&lt;&gt;"Hoàn thành",N204="2. Lên lịch"),MAX(Y$5:Y203)+1,"")</f>
        <v/>
      </c>
      <c r="Z204" s="9" t="str">
        <f aca="false">IF(AND(C204&lt;&gt;"",K204&lt;&gt;"Hoàn thành",N204="3. Giao lại"),MAX(Z$5:Z203)+1,"")</f>
        <v/>
      </c>
      <c r="AA204" s="9" t="str">
        <f aca="false">IF(AND(C204&lt;&gt;"",K204&lt;&gt;"Hoàn thành",N204="4. Để sau"),MAX(AA$5:AA203)+1,"")</f>
        <v/>
      </c>
      <c r="AB204" s="9" t="str">
        <f aca="false">IF(AND(C204&lt;&gt;"",J204&lt;&gt;"",J204&gt;=TUAN!$C$3,J204&lt;=TUAN!$C$3+6),MAX(AB$5:AB203)+1,"")</f>
        <v/>
      </c>
    </row>
    <row r="205" customFormat="false" ht="15" hidden="false" customHeight="false" outlineLevel="0" collapsed="false">
      <c r="A205" s="9" t="str">
        <f aca="false">IF(C205="","","CV"&amp;TEXT(ROW()-5,"000"))</f>
        <v/>
      </c>
      <c r="B205" s="10"/>
      <c r="C205" s="11"/>
      <c r="D205" s="12"/>
      <c r="E205" s="12"/>
      <c r="F205" s="12"/>
      <c r="G205" s="12"/>
      <c r="H205" s="12"/>
      <c r="I205" s="12"/>
      <c r="J205" s="10"/>
      <c r="K205" s="12"/>
      <c r="L205" s="10"/>
      <c r="M205" s="12"/>
      <c r="N205" s="9" t="str">
        <f aca="false">IF(C205="","",IF(AND(H205="Có",I205="Có"),"1. Làm ngay",IF(H205="Có","2. Lên lịch",IF(I205="Có","3. Giao lại","4. Để sau"))))</f>
        <v/>
      </c>
      <c r="O205" s="9" t="str">
        <f aca="true">IF(OR(C205="",J205="",K205="Hoàn thành"),"",J205-TODAY())</f>
        <v/>
      </c>
      <c r="P205" s="9" t="str">
        <f aca="true">IF(C205="","",IF(K205="Hoàn thành",IF(OR(L205="",J205=""),"Xong (thiếu ngày)",IF(L205&lt;=J205,"Xong đúng hạn","Xong trễ")),IF(J205="","Chưa có hạn",IF(J205&lt;TODAY(),"Quá hạn",IF(J205=TODAY(),"Đến hạn hôm nay",IF(J205-TODAY()&lt;=3,"Sắp đến hạn","Trong hạn"))))))</f>
        <v/>
      </c>
      <c r="Q205" s="9" t="str">
        <f aca="false">IF(OR(C205="",J205=""),"",WEEKNUM(J205,21))</f>
        <v/>
      </c>
      <c r="R205" s="2"/>
      <c r="S205" s="9" t="str">
        <f aca="true">IF(AND(C205&lt;&gt;"",K205&lt;&gt;"Hoàn thành",J205&lt;&gt;"",J205&lt;=TODAY()),MAX(S$5:S204)+1,"")</f>
        <v/>
      </c>
      <c r="T205" s="9" t="str">
        <f aca="false">IF(AND(C205&lt;&gt;"",IF(K205="","Chưa làm",K205)="Chưa làm"),MAX(T$5:T204)+1,"")</f>
        <v/>
      </c>
      <c r="U205" s="9" t="str">
        <f aca="false">IF(AND(C205&lt;&gt;"",IF(K205="","Chưa làm",K205)="Đang làm"),MAX(U$5:U204)+1,"")</f>
        <v/>
      </c>
      <c r="V205" s="9" t="str">
        <f aca="false">IF(AND(C205&lt;&gt;"",IF(K205="","Chưa làm",K205)="Chờ duyệt"),MAX(V$5:V204)+1,"")</f>
        <v/>
      </c>
      <c r="W205" s="9" t="str">
        <f aca="false">IF(AND(C205&lt;&gt;"",IF(K205="","Chưa làm",K205)="Hoàn thành"),MAX(W$5:W204)+1,"")</f>
        <v/>
      </c>
      <c r="X205" s="9" t="str">
        <f aca="false">IF(AND(C205&lt;&gt;"",K205&lt;&gt;"Hoàn thành",N205="1. Làm ngay"),MAX(X$5:X204)+1,"")</f>
        <v/>
      </c>
      <c r="Y205" s="9" t="str">
        <f aca="false">IF(AND(C205&lt;&gt;"",K205&lt;&gt;"Hoàn thành",N205="2. Lên lịch"),MAX(Y$5:Y204)+1,"")</f>
        <v/>
      </c>
      <c r="Z205" s="9" t="str">
        <f aca="false">IF(AND(C205&lt;&gt;"",K205&lt;&gt;"Hoàn thành",N205="3. Giao lại"),MAX(Z$5:Z204)+1,"")</f>
        <v/>
      </c>
      <c r="AA205" s="9" t="str">
        <f aca="false">IF(AND(C205&lt;&gt;"",K205&lt;&gt;"Hoàn thành",N205="4. Để sau"),MAX(AA$5:AA204)+1,"")</f>
        <v/>
      </c>
      <c r="AB205" s="9" t="str">
        <f aca="false">IF(AND(C205&lt;&gt;"",J205&lt;&gt;"",J205&gt;=TUAN!$C$3,J205&lt;=TUAN!$C$3+6),MAX(AB$5:AB204)+1,"")</f>
        <v/>
      </c>
    </row>
    <row r="206" customFormat="false" ht="15" hidden="false" customHeight="false" outlineLevel="0" collapsed="false">
      <c r="A206" s="9" t="str">
        <f aca="false">IF(C206="","","CV"&amp;TEXT(ROW()-5,"000"))</f>
        <v/>
      </c>
      <c r="B206" s="10"/>
      <c r="C206" s="11"/>
      <c r="D206" s="12"/>
      <c r="E206" s="12"/>
      <c r="F206" s="12"/>
      <c r="G206" s="12"/>
      <c r="H206" s="12"/>
      <c r="I206" s="12"/>
      <c r="J206" s="10"/>
      <c r="K206" s="12"/>
      <c r="L206" s="10"/>
      <c r="M206" s="12"/>
      <c r="N206" s="9" t="str">
        <f aca="false">IF(C206="","",IF(AND(H206="Có",I206="Có"),"1. Làm ngay",IF(H206="Có","2. Lên lịch",IF(I206="Có","3. Giao lại","4. Để sau"))))</f>
        <v/>
      </c>
      <c r="O206" s="9" t="str">
        <f aca="true">IF(OR(C206="",J206="",K206="Hoàn thành"),"",J206-TODAY())</f>
        <v/>
      </c>
      <c r="P206" s="9" t="str">
        <f aca="true">IF(C206="","",IF(K206="Hoàn thành",IF(OR(L206="",J206=""),"Xong (thiếu ngày)",IF(L206&lt;=J206,"Xong đúng hạn","Xong trễ")),IF(J206="","Chưa có hạn",IF(J206&lt;TODAY(),"Quá hạn",IF(J206=TODAY(),"Đến hạn hôm nay",IF(J206-TODAY()&lt;=3,"Sắp đến hạn","Trong hạn"))))))</f>
        <v/>
      </c>
      <c r="Q206" s="9" t="str">
        <f aca="false">IF(OR(C206="",J206=""),"",WEEKNUM(J206,21))</f>
        <v/>
      </c>
      <c r="R206" s="2"/>
      <c r="S206" s="9" t="str">
        <f aca="true">IF(AND(C206&lt;&gt;"",K206&lt;&gt;"Hoàn thành",J206&lt;&gt;"",J206&lt;=TODAY()),MAX(S$5:S205)+1,"")</f>
        <v/>
      </c>
      <c r="T206" s="9" t="str">
        <f aca="false">IF(AND(C206&lt;&gt;"",IF(K206="","Chưa làm",K206)="Chưa làm"),MAX(T$5:T205)+1,"")</f>
        <v/>
      </c>
      <c r="U206" s="9" t="str">
        <f aca="false">IF(AND(C206&lt;&gt;"",IF(K206="","Chưa làm",K206)="Đang làm"),MAX(U$5:U205)+1,"")</f>
        <v/>
      </c>
      <c r="V206" s="9" t="str">
        <f aca="false">IF(AND(C206&lt;&gt;"",IF(K206="","Chưa làm",K206)="Chờ duyệt"),MAX(V$5:V205)+1,"")</f>
        <v/>
      </c>
      <c r="W206" s="9" t="str">
        <f aca="false">IF(AND(C206&lt;&gt;"",IF(K206="","Chưa làm",K206)="Hoàn thành"),MAX(W$5:W205)+1,"")</f>
        <v/>
      </c>
      <c r="X206" s="9" t="str">
        <f aca="false">IF(AND(C206&lt;&gt;"",K206&lt;&gt;"Hoàn thành",N206="1. Làm ngay"),MAX(X$5:X205)+1,"")</f>
        <v/>
      </c>
      <c r="Y206" s="9" t="str">
        <f aca="false">IF(AND(C206&lt;&gt;"",K206&lt;&gt;"Hoàn thành",N206="2. Lên lịch"),MAX(Y$5:Y205)+1,"")</f>
        <v/>
      </c>
      <c r="Z206" s="9" t="str">
        <f aca="false">IF(AND(C206&lt;&gt;"",K206&lt;&gt;"Hoàn thành",N206="3. Giao lại"),MAX(Z$5:Z205)+1,"")</f>
        <v/>
      </c>
      <c r="AA206" s="9" t="str">
        <f aca="false">IF(AND(C206&lt;&gt;"",K206&lt;&gt;"Hoàn thành",N206="4. Để sau"),MAX(AA$5:AA205)+1,"")</f>
        <v/>
      </c>
      <c r="AB206" s="9" t="str">
        <f aca="false">IF(AND(C206&lt;&gt;"",J206&lt;&gt;"",J206&gt;=TUAN!$C$3,J206&lt;=TUAN!$C$3+6),MAX(AB$5:AB205)+1,"")</f>
        <v/>
      </c>
    </row>
    <row r="207" customFormat="false" ht="15" hidden="false" customHeight="false" outlineLevel="0" collapsed="false">
      <c r="A207" s="9" t="str">
        <f aca="false">IF(C207="","","CV"&amp;TEXT(ROW()-5,"000"))</f>
        <v/>
      </c>
      <c r="B207" s="10"/>
      <c r="C207" s="11"/>
      <c r="D207" s="12"/>
      <c r="E207" s="12"/>
      <c r="F207" s="12"/>
      <c r="G207" s="12"/>
      <c r="H207" s="12"/>
      <c r="I207" s="12"/>
      <c r="J207" s="10"/>
      <c r="K207" s="12"/>
      <c r="L207" s="10"/>
      <c r="M207" s="12"/>
      <c r="N207" s="9" t="str">
        <f aca="false">IF(C207="","",IF(AND(H207="Có",I207="Có"),"1. Làm ngay",IF(H207="Có","2. Lên lịch",IF(I207="Có","3. Giao lại","4. Để sau"))))</f>
        <v/>
      </c>
      <c r="O207" s="9" t="str">
        <f aca="true">IF(OR(C207="",J207="",K207="Hoàn thành"),"",J207-TODAY())</f>
        <v/>
      </c>
      <c r="P207" s="9" t="str">
        <f aca="true">IF(C207="","",IF(K207="Hoàn thành",IF(OR(L207="",J207=""),"Xong (thiếu ngày)",IF(L207&lt;=J207,"Xong đúng hạn","Xong trễ")),IF(J207="","Chưa có hạn",IF(J207&lt;TODAY(),"Quá hạn",IF(J207=TODAY(),"Đến hạn hôm nay",IF(J207-TODAY()&lt;=3,"Sắp đến hạn","Trong hạn"))))))</f>
        <v/>
      </c>
      <c r="Q207" s="9" t="str">
        <f aca="false">IF(OR(C207="",J207=""),"",WEEKNUM(J207,21))</f>
        <v/>
      </c>
      <c r="R207" s="2"/>
      <c r="S207" s="9" t="str">
        <f aca="true">IF(AND(C207&lt;&gt;"",K207&lt;&gt;"Hoàn thành",J207&lt;&gt;"",J207&lt;=TODAY()),MAX(S$5:S206)+1,"")</f>
        <v/>
      </c>
      <c r="T207" s="9" t="str">
        <f aca="false">IF(AND(C207&lt;&gt;"",IF(K207="","Chưa làm",K207)="Chưa làm"),MAX(T$5:T206)+1,"")</f>
        <v/>
      </c>
      <c r="U207" s="9" t="str">
        <f aca="false">IF(AND(C207&lt;&gt;"",IF(K207="","Chưa làm",K207)="Đang làm"),MAX(U$5:U206)+1,"")</f>
        <v/>
      </c>
      <c r="V207" s="9" t="str">
        <f aca="false">IF(AND(C207&lt;&gt;"",IF(K207="","Chưa làm",K207)="Chờ duyệt"),MAX(V$5:V206)+1,"")</f>
        <v/>
      </c>
      <c r="W207" s="9" t="str">
        <f aca="false">IF(AND(C207&lt;&gt;"",IF(K207="","Chưa làm",K207)="Hoàn thành"),MAX(W$5:W206)+1,"")</f>
        <v/>
      </c>
      <c r="X207" s="9" t="str">
        <f aca="false">IF(AND(C207&lt;&gt;"",K207&lt;&gt;"Hoàn thành",N207="1. Làm ngay"),MAX(X$5:X206)+1,"")</f>
        <v/>
      </c>
      <c r="Y207" s="9" t="str">
        <f aca="false">IF(AND(C207&lt;&gt;"",K207&lt;&gt;"Hoàn thành",N207="2. Lên lịch"),MAX(Y$5:Y206)+1,"")</f>
        <v/>
      </c>
      <c r="Z207" s="9" t="str">
        <f aca="false">IF(AND(C207&lt;&gt;"",K207&lt;&gt;"Hoàn thành",N207="3. Giao lại"),MAX(Z$5:Z206)+1,"")</f>
        <v/>
      </c>
      <c r="AA207" s="9" t="str">
        <f aca="false">IF(AND(C207&lt;&gt;"",K207&lt;&gt;"Hoàn thành",N207="4. Để sau"),MAX(AA$5:AA206)+1,"")</f>
        <v/>
      </c>
      <c r="AB207" s="9" t="str">
        <f aca="false">IF(AND(C207&lt;&gt;"",J207&lt;&gt;"",J207&gt;=TUAN!$C$3,J207&lt;=TUAN!$C$3+6),MAX(AB$5:AB206)+1,"")</f>
        <v/>
      </c>
    </row>
    <row r="208" customFormat="false" ht="15" hidden="false" customHeight="false" outlineLevel="0" collapsed="false">
      <c r="A208" s="9" t="str">
        <f aca="false">IF(C208="","","CV"&amp;TEXT(ROW()-5,"000"))</f>
        <v/>
      </c>
      <c r="B208" s="10"/>
      <c r="C208" s="11"/>
      <c r="D208" s="12"/>
      <c r="E208" s="12"/>
      <c r="F208" s="12"/>
      <c r="G208" s="12"/>
      <c r="H208" s="12"/>
      <c r="I208" s="12"/>
      <c r="J208" s="10"/>
      <c r="K208" s="12"/>
      <c r="L208" s="10"/>
      <c r="M208" s="12"/>
      <c r="N208" s="9" t="str">
        <f aca="false">IF(C208="","",IF(AND(H208="Có",I208="Có"),"1. Làm ngay",IF(H208="Có","2. Lên lịch",IF(I208="Có","3. Giao lại","4. Để sau"))))</f>
        <v/>
      </c>
      <c r="O208" s="9" t="str">
        <f aca="true">IF(OR(C208="",J208="",K208="Hoàn thành"),"",J208-TODAY())</f>
        <v/>
      </c>
      <c r="P208" s="9" t="str">
        <f aca="true">IF(C208="","",IF(K208="Hoàn thành",IF(OR(L208="",J208=""),"Xong (thiếu ngày)",IF(L208&lt;=J208,"Xong đúng hạn","Xong trễ")),IF(J208="","Chưa có hạn",IF(J208&lt;TODAY(),"Quá hạn",IF(J208=TODAY(),"Đến hạn hôm nay",IF(J208-TODAY()&lt;=3,"Sắp đến hạn","Trong hạn"))))))</f>
        <v/>
      </c>
      <c r="Q208" s="9" t="str">
        <f aca="false">IF(OR(C208="",J208=""),"",WEEKNUM(J208,21))</f>
        <v/>
      </c>
      <c r="R208" s="2"/>
      <c r="S208" s="9" t="str">
        <f aca="true">IF(AND(C208&lt;&gt;"",K208&lt;&gt;"Hoàn thành",J208&lt;&gt;"",J208&lt;=TODAY()),MAX(S$5:S207)+1,"")</f>
        <v/>
      </c>
      <c r="T208" s="9" t="str">
        <f aca="false">IF(AND(C208&lt;&gt;"",IF(K208="","Chưa làm",K208)="Chưa làm"),MAX(T$5:T207)+1,"")</f>
        <v/>
      </c>
      <c r="U208" s="9" t="str">
        <f aca="false">IF(AND(C208&lt;&gt;"",IF(K208="","Chưa làm",K208)="Đang làm"),MAX(U$5:U207)+1,"")</f>
        <v/>
      </c>
      <c r="V208" s="9" t="str">
        <f aca="false">IF(AND(C208&lt;&gt;"",IF(K208="","Chưa làm",K208)="Chờ duyệt"),MAX(V$5:V207)+1,"")</f>
        <v/>
      </c>
      <c r="W208" s="9" t="str">
        <f aca="false">IF(AND(C208&lt;&gt;"",IF(K208="","Chưa làm",K208)="Hoàn thành"),MAX(W$5:W207)+1,"")</f>
        <v/>
      </c>
      <c r="X208" s="9" t="str">
        <f aca="false">IF(AND(C208&lt;&gt;"",K208&lt;&gt;"Hoàn thành",N208="1. Làm ngay"),MAX(X$5:X207)+1,"")</f>
        <v/>
      </c>
      <c r="Y208" s="9" t="str">
        <f aca="false">IF(AND(C208&lt;&gt;"",K208&lt;&gt;"Hoàn thành",N208="2. Lên lịch"),MAX(Y$5:Y207)+1,"")</f>
        <v/>
      </c>
      <c r="Z208" s="9" t="str">
        <f aca="false">IF(AND(C208&lt;&gt;"",K208&lt;&gt;"Hoàn thành",N208="3. Giao lại"),MAX(Z$5:Z207)+1,"")</f>
        <v/>
      </c>
      <c r="AA208" s="9" t="str">
        <f aca="false">IF(AND(C208&lt;&gt;"",K208&lt;&gt;"Hoàn thành",N208="4. Để sau"),MAX(AA$5:AA207)+1,"")</f>
        <v/>
      </c>
      <c r="AB208" s="9" t="str">
        <f aca="false">IF(AND(C208&lt;&gt;"",J208&lt;&gt;"",J208&gt;=TUAN!$C$3,J208&lt;=TUAN!$C$3+6),MAX(AB$5:AB207)+1,"")</f>
        <v/>
      </c>
    </row>
    <row r="209" customFormat="false" ht="15" hidden="false" customHeight="false" outlineLevel="0" collapsed="false">
      <c r="A209" s="9" t="str">
        <f aca="false">IF(C209="","","CV"&amp;TEXT(ROW()-5,"000"))</f>
        <v/>
      </c>
      <c r="B209" s="10"/>
      <c r="C209" s="11"/>
      <c r="D209" s="12"/>
      <c r="E209" s="12"/>
      <c r="F209" s="12"/>
      <c r="G209" s="12"/>
      <c r="H209" s="12"/>
      <c r="I209" s="12"/>
      <c r="J209" s="10"/>
      <c r="K209" s="12"/>
      <c r="L209" s="10"/>
      <c r="M209" s="12"/>
      <c r="N209" s="9" t="str">
        <f aca="false">IF(C209="","",IF(AND(H209="Có",I209="Có"),"1. Làm ngay",IF(H209="Có","2. Lên lịch",IF(I209="Có","3. Giao lại","4. Để sau"))))</f>
        <v/>
      </c>
      <c r="O209" s="9" t="str">
        <f aca="true">IF(OR(C209="",J209="",K209="Hoàn thành"),"",J209-TODAY())</f>
        <v/>
      </c>
      <c r="P209" s="9" t="str">
        <f aca="true">IF(C209="","",IF(K209="Hoàn thành",IF(OR(L209="",J209=""),"Xong (thiếu ngày)",IF(L209&lt;=J209,"Xong đúng hạn","Xong trễ")),IF(J209="","Chưa có hạn",IF(J209&lt;TODAY(),"Quá hạn",IF(J209=TODAY(),"Đến hạn hôm nay",IF(J209-TODAY()&lt;=3,"Sắp đến hạn","Trong hạn"))))))</f>
        <v/>
      </c>
      <c r="Q209" s="9" t="str">
        <f aca="false">IF(OR(C209="",J209=""),"",WEEKNUM(J209,21))</f>
        <v/>
      </c>
      <c r="R209" s="2"/>
      <c r="S209" s="9" t="str">
        <f aca="true">IF(AND(C209&lt;&gt;"",K209&lt;&gt;"Hoàn thành",J209&lt;&gt;"",J209&lt;=TODAY()),MAX(S$5:S208)+1,"")</f>
        <v/>
      </c>
      <c r="T209" s="9" t="str">
        <f aca="false">IF(AND(C209&lt;&gt;"",IF(K209="","Chưa làm",K209)="Chưa làm"),MAX(T$5:T208)+1,"")</f>
        <v/>
      </c>
      <c r="U209" s="9" t="str">
        <f aca="false">IF(AND(C209&lt;&gt;"",IF(K209="","Chưa làm",K209)="Đang làm"),MAX(U$5:U208)+1,"")</f>
        <v/>
      </c>
      <c r="V209" s="9" t="str">
        <f aca="false">IF(AND(C209&lt;&gt;"",IF(K209="","Chưa làm",K209)="Chờ duyệt"),MAX(V$5:V208)+1,"")</f>
        <v/>
      </c>
      <c r="W209" s="9" t="str">
        <f aca="false">IF(AND(C209&lt;&gt;"",IF(K209="","Chưa làm",K209)="Hoàn thành"),MAX(W$5:W208)+1,"")</f>
        <v/>
      </c>
      <c r="X209" s="9" t="str">
        <f aca="false">IF(AND(C209&lt;&gt;"",K209&lt;&gt;"Hoàn thành",N209="1. Làm ngay"),MAX(X$5:X208)+1,"")</f>
        <v/>
      </c>
      <c r="Y209" s="9" t="str">
        <f aca="false">IF(AND(C209&lt;&gt;"",K209&lt;&gt;"Hoàn thành",N209="2. Lên lịch"),MAX(Y$5:Y208)+1,"")</f>
        <v/>
      </c>
      <c r="Z209" s="9" t="str">
        <f aca="false">IF(AND(C209&lt;&gt;"",K209&lt;&gt;"Hoàn thành",N209="3. Giao lại"),MAX(Z$5:Z208)+1,"")</f>
        <v/>
      </c>
      <c r="AA209" s="9" t="str">
        <f aca="false">IF(AND(C209&lt;&gt;"",K209&lt;&gt;"Hoàn thành",N209="4. Để sau"),MAX(AA$5:AA208)+1,"")</f>
        <v/>
      </c>
      <c r="AB209" s="9" t="str">
        <f aca="false">IF(AND(C209&lt;&gt;"",J209&lt;&gt;"",J209&gt;=TUAN!$C$3,J209&lt;=TUAN!$C$3+6),MAX(AB$5:AB208)+1,"")</f>
        <v/>
      </c>
    </row>
    <row r="210" customFormat="false" ht="15" hidden="false" customHeight="false" outlineLevel="0" collapsed="false">
      <c r="A210" s="9" t="str">
        <f aca="false">IF(C210="","","CV"&amp;TEXT(ROW()-5,"000"))</f>
        <v/>
      </c>
      <c r="B210" s="10"/>
      <c r="C210" s="11"/>
      <c r="D210" s="12"/>
      <c r="E210" s="12"/>
      <c r="F210" s="12"/>
      <c r="G210" s="12"/>
      <c r="H210" s="12"/>
      <c r="I210" s="12"/>
      <c r="J210" s="10"/>
      <c r="K210" s="12"/>
      <c r="L210" s="10"/>
      <c r="M210" s="12"/>
      <c r="N210" s="9" t="str">
        <f aca="false">IF(C210="","",IF(AND(H210="Có",I210="Có"),"1. Làm ngay",IF(H210="Có","2. Lên lịch",IF(I210="Có","3. Giao lại","4. Để sau"))))</f>
        <v/>
      </c>
      <c r="O210" s="9" t="str">
        <f aca="true">IF(OR(C210="",J210="",K210="Hoàn thành"),"",J210-TODAY())</f>
        <v/>
      </c>
      <c r="P210" s="9" t="str">
        <f aca="true">IF(C210="","",IF(K210="Hoàn thành",IF(OR(L210="",J210=""),"Xong (thiếu ngày)",IF(L210&lt;=J210,"Xong đúng hạn","Xong trễ")),IF(J210="","Chưa có hạn",IF(J210&lt;TODAY(),"Quá hạn",IF(J210=TODAY(),"Đến hạn hôm nay",IF(J210-TODAY()&lt;=3,"Sắp đến hạn","Trong hạn"))))))</f>
        <v/>
      </c>
      <c r="Q210" s="9" t="str">
        <f aca="false">IF(OR(C210="",J210=""),"",WEEKNUM(J210,21))</f>
        <v/>
      </c>
      <c r="R210" s="2"/>
      <c r="S210" s="9" t="str">
        <f aca="true">IF(AND(C210&lt;&gt;"",K210&lt;&gt;"Hoàn thành",J210&lt;&gt;"",J210&lt;=TODAY()),MAX(S$5:S209)+1,"")</f>
        <v/>
      </c>
      <c r="T210" s="9" t="str">
        <f aca="false">IF(AND(C210&lt;&gt;"",IF(K210="","Chưa làm",K210)="Chưa làm"),MAX(T$5:T209)+1,"")</f>
        <v/>
      </c>
      <c r="U210" s="9" t="str">
        <f aca="false">IF(AND(C210&lt;&gt;"",IF(K210="","Chưa làm",K210)="Đang làm"),MAX(U$5:U209)+1,"")</f>
        <v/>
      </c>
      <c r="V210" s="9" t="str">
        <f aca="false">IF(AND(C210&lt;&gt;"",IF(K210="","Chưa làm",K210)="Chờ duyệt"),MAX(V$5:V209)+1,"")</f>
        <v/>
      </c>
      <c r="W210" s="9" t="str">
        <f aca="false">IF(AND(C210&lt;&gt;"",IF(K210="","Chưa làm",K210)="Hoàn thành"),MAX(W$5:W209)+1,"")</f>
        <v/>
      </c>
      <c r="X210" s="9" t="str">
        <f aca="false">IF(AND(C210&lt;&gt;"",K210&lt;&gt;"Hoàn thành",N210="1. Làm ngay"),MAX(X$5:X209)+1,"")</f>
        <v/>
      </c>
      <c r="Y210" s="9" t="str">
        <f aca="false">IF(AND(C210&lt;&gt;"",K210&lt;&gt;"Hoàn thành",N210="2. Lên lịch"),MAX(Y$5:Y209)+1,"")</f>
        <v/>
      </c>
      <c r="Z210" s="9" t="str">
        <f aca="false">IF(AND(C210&lt;&gt;"",K210&lt;&gt;"Hoàn thành",N210="3. Giao lại"),MAX(Z$5:Z209)+1,"")</f>
        <v/>
      </c>
      <c r="AA210" s="9" t="str">
        <f aca="false">IF(AND(C210&lt;&gt;"",K210&lt;&gt;"Hoàn thành",N210="4. Để sau"),MAX(AA$5:AA209)+1,"")</f>
        <v/>
      </c>
      <c r="AB210" s="9" t="str">
        <f aca="false">IF(AND(C210&lt;&gt;"",J210&lt;&gt;"",J210&gt;=TUAN!$C$3,J210&lt;=TUAN!$C$3+6),MAX(AB$5:AB209)+1,"")</f>
        <v/>
      </c>
    </row>
    <row r="211" customFormat="false" ht="15" hidden="false" customHeight="false" outlineLevel="0" collapsed="false">
      <c r="A211" s="9" t="str">
        <f aca="false">IF(C211="","","CV"&amp;TEXT(ROW()-5,"000"))</f>
        <v/>
      </c>
      <c r="B211" s="10"/>
      <c r="C211" s="11"/>
      <c r="D211" s="12"/>
      <c r="E211" s="12"/>
      <c r="F211" s="12"/>
      <c r="G211" s="12"/>
      <c r="H211" s="12"/>
      <c r="I211" s="12"/>
      <c r="J211" s="10"/>
      <c r="K211" s="12"/>
      <c r="L211" s="10"/>
      <c r="M211" s="12"/>
      <c r="N211" s="9" t="str">
        <f aca="false">IF(C211="","",IF(AND(H211="Có",I211="Có"),"1. Làm ngay",IF(H211="Có","2. Lên lịch",IF(I211="Có","3. Giao lại","4. Để sau"))))</f>
        <v/>
      </c>
      <c r="O211" s="9" t="str">
        <f aca="true">IF(OR(C211="",J211="",K211="Hoàn thành"),"",J211-TODAY())</f>
        <v/>
      </c>
      <c r="P211" s="9" t="str">
        <f aca="true">IF(C211="","",IF(K211="Hoàn thành",IF(OR(L211="",J211=""),"Xong (thiếu ngày)",IF(L211&lt;=J211,"Xong đúng hạn","Xong trễ")),IF(J211="","Chưa có hạn",IF(J211&lt;TODAY(),"Quá hạn",IF(J211=TODAY(),"Đến hạn hôm nay",IF(J211-TODAY()&lt;=3,"Sắp đến hạn","Trong hạn"))))))</f>
        <v/>
      </c>
      <c r="Q211" s="9" t="str">
        <f aca="false">IF(OR(C211="",J211=""),"",WEEKNUM(J211,21))</f>
        <v/>
      </c>
      <c r="R211" s="2"/>
      <c r="S211" s="9" t="str">
        <f aca="true">IF(AND(C211&lt;&gt;"",K211&lt;&gt;"Hoàn thành",J211&lt;&gt;"",J211&lt;=TODAY()),MAX(S$5:S210)+1,"")</f>
        <v/>
      </c>
      <c r="T211" s="9" t="str">
        <f aca="false">IF(AND(C211&lt;&gt;"",IF(K211="","Chưa làm",K211)="Chưa làm"),MAX(T$5:T210)+1,"")</f>
        <v/>
      </c>
      <c r="U211" s="9" t="str">
        <f aca="false">IF(AND(C211&lt;&gt;"",IF(K211="","Chưa làm",K211)="Đang làm"),MAX(U$5:U210)+1,"")</f>
        <v/>
      </c>
      <c r="V211" s="9" t="str">
        <f aca="false">IF(AND(C211&lt;&gt;"",IF(K211="","Chưa làm",K211)="Chờ duyệt"),MAX(V$5:V210)+1,"")</f>
        <v/>
      </c>
      <c r="W211" s="9" t="str">
        <f aca="false">IF(AND(C211&lt;&gt;"",IF(K211="","Chưa làm",K211)="Hoàn thành"),MAX(W$5:W210)+1,"")</f>
        <v/>
      </c>
      <c r="X211" s="9" t="str">
        <f aca="false">IF(AND(C211&lt;&gt;"",K211&lt;&gt;"Hoàn thành",N211="1. Làm ngay"),MAX(X$5:X210)+1,"")</f>
        <v/>
      </c>
      <c r="Y211" s="9" t="str">
        <f aca="false">IF(AND(C211&lt;&gt;"",K211&lt;&gt;"Hoàn thành",N211="2. Lên lịch"),MAX(Y$5:Y210)+1,"")</f>
        <v/>
      </c>
      <c r="Z211" s="9" t="str">
        <f aca="false">IF(AND(C211&lt;&gt;"",K211&lt;&gt;"Hoàn thành",N211="3. Giao lại"),MAX(Z$5:Z210)+1,"")</f>
        <v/>
      </c>
      <c r="AA211" s="9" t="str">
        <f aca="false">IF(AND(C211&lt;&gt;"",K211&lt;&gt;"Hoàn thành",N211="4. Để sau"),MAX(AA$5:AA210)+1,"")</f>
        <v/>
      </c>
      <c r="AB211" s="9" t="str">
        <f aca="false">IF(AND(C211&lt;&gt;"",J211&lt;&gt;"",J211&gt;=TUAN!$C$3,J211&lt;=TUAN!$C$3+6),MAX(AB$5:AB210)+1,"")</f>
        <v/>
      </c>
    </row>
    <row r="212" customFormat="false" ht="15" hidden="false" customHeight="false" outlineLevel="0" collapsed="false">
      <c r="A212" s="9" t="str">
        <f aca="false">IF(C212="","","CV"&amp;TEXT(ROW()-5,"000"))</f>
        <v/>
      </c>
      <c r="B212" s="10"/>
      <c r="C212" s="11"/>
      <c r="D212" s="12"/>
      <c r="E212" s="12"/>
      <c r="F212" s="12"/>
      <c r="G212" s="12"/>
      <c r="H212" s="12"/>
      <c r="I212" s="12"/>
      <c r="J212" s="10"/>
      <c r="K212" s="12"/>
      <c r="L212" s="10"/>
      <c r="M212" s="12"/>
      <c r="N212" s="9" t="str">
        <f aca="false">IF(C212="","",IF(AND(H212="Có",I212="Có"),"1. Làm ngay",IF(H212="Có","2. Lên lịch",IF(I212="Có","3. Giao lại","4. Để sau"))))</f>
        <v/>
      </c>
      <c r="O212" s="9" t="str">
        <f aca="true">IF(OR(C212="",J212="",K212="Hoàn thành"),"",J212-TODAY())</f>
        <v/>
      </c>
      <c r="P212" s="9" t="str">
        <f aca="true">IF(C212="","",IF(K212="Hoàn thành",IF(OR(L212="",J212=""),"Xong (thiếu ngày)",IF(L212&lt;=J212,"Xong đúng hạn","Xong trễ")),IF(J212="","Chưa có hạn",IF(J212&lt;TODAY(),"Quá hạn",IF(J212=TODAY(),"Đến hạn hôm nay",IF(J212-TODAY()&lt;=3,"Sắp đến hạn","Trong hạn"))))))</f>
        <v/>
      </c>
      <c r="Q212" s="9" t="str">
        <f aca="false">IF(OR(C212="",J212=""),"",WEEKNUM(J212,21))</f>
        <v/>
      </c>
      <c r="R212" s="2"/>
      <c r="S212" s="9" t="str">
        <f aca="true">IF(AND(C212&lt;&gt;"",K212&lt;&gt;"Hoàn thành",J212&lt;&gt;"",J212&lt;=TODAY()),MAX(S$5:S211)+1,"")</f>
        <v/>
      </c>
      <c r="T212" s="9" t="str">
        <f aca="false">IF(AND(C212&lt;&gt;"",IF(K212="","Chưa làm",K212)="Chưa làm"),MAX(T$5:T211)+1,"")</f>
        <v/>
      </c>
      <c r="U212" s="9" t="str">
        <f aca="false">IF(AND(C212&lt;&gt;"",IF(K212="","Chưa làm",K212)="Đang làm"),MAX(U$5:U211)+1,"")</f>
        <v/>
      </c>
      <c r="V212" s="9" t="str">
        <f aca="false">IF(AND(C212&lt;&gt;"",IF(K212="","Chưa làm",K212)="Chờ duyệt"),MAX(V$5:V211)+1,"")</f>
        <v/>
      </c>
      <c r="W212" s="9" t="str">
        <f aca="false">IF(AND(C212&lt;&gt;"",IF(K212="","Chưa làm",K212)="Hoàn thành"),MAX(W$5:W211)+1,"")</f>
        <v/>
      </c>
      <c r="X212" s="9" t="str">
        <f aca="false">IF(AND(C212&lt;&gt;"",K212&lt;&gt;"Hoàn thành",N212="1. Làm ngay"),MAX(X$5:X211)+1,"")</f>
        <v/>
      </c>
      <c r="Y212" s="9" t="str">
        <f aca="false">IF(AND(C212&lt;&gt;"",K212&lt;&gt;"Hoàn thành",N212="2. Lên lịch"),MAX(Y$5:Y211)+1,"")</f>
        <v/>
      </c>
      <c r="Z212" s="9" t="str">
        <f aca="false">IF(AND(C212&lt;&gt;"",K212&lt;&gt;"Hoàn thành",N212="3. Giao lại"),MAX(Z$5:Z211)+1,"")</f>
        <v/>
      </c>
      <c r="AA212" s="9" t="str">
        <f aca="false">IF(AND(C212&lt;&gt;"",K212&lt;&gt;"Hoàn thành",N212="4. Để sau"),MAX(AA$5:AA211)+1,"")</f>
        <v/>
      </c>
      <c r="AB212" s="9" t="str">
        <f aca="false">IF(AND(C212&lt;&gt;"",J212&lt;&gt;"",J212&gt;=TUAN!$C$3,J212&lt;=TUAN!$C$3+6),MAX(AB$5:AB211)+1,"")</f>
        <v/>
      </c>
    </row>
    <row r="213" customFormat="false" ht="15" hidden="false" customHeight="false" outlineLevel="0" collapsed="false">
      <c r="A213" s="9" t="str">
        <f aca="false">IF(C213="","","CV"&amp;TEXT(ROW()-5,"000"))</f>
        <v/>
      </c>
      <c r="B213" s="10"/>
      <c r="C213" s="11"/>
      <c r="D213" s="12"/>
      <c r="E213" s="12"/>
      <c r="F213" s="12"/>
      <c r="G213" s="12"/>
      <c r="H213" s="12"/>
      <c r="I213" s="12"/>
      <c r="J213" s="10"/>
      <c r="K213" s="12"/>
      <c r="L213" s="10"/>
      <c r="M213" s="12"/>
      <c r="N213" s="9" t="str">
        <f aca="false">IF(C213="","",IF(AND(H213="Có",I213="Có"),"1. Làm ngay",IF(H213="Có","2. Lên lịch",IF(I213="Có","3. Giao lại","4. Để sau"))))</f>
        <v/>
      </c>
      <c r="O213" s="9" t="str">
        <f aca="true">IF(OR(C213="",J213="",K213="Hoàn thành"),"",J213-TODAY())</f>
        <v/>
      </c>
      <c r="P213" s="9" t="str">
        <f aca="true">IF(C213="","",IF(K213="Hoàn thành",IF(OR(L213="",J213=""),"Xong (thiếu ngày)",IF(L213&lt;=J213,"Xong đúng hạn","Xong trễ")),IF(J213="","Chưa có hạn",IF(J213&lt;TODAY(),"Quá hạn",IF(J213=TODAY(),"Đến hạn hôm nay",IF(J213-TODAY()&lt;=3,"Sắp đến hạn","Trong hạn"))))))</f>
        <v/>
      </c>
      <c r="Q213" s="9" t="str">
        <f aca="false">IF(OR(C213="",J213=""),"",WEEKNUM(J213,21))</f>
        <v/>
      </c>
      <c r="R213" s="2"/>
      <c r="S213" s="9" t="str">
        <f aca="true">IF(AND(C213&lt;&gt;"",K213&lt;&gt;"Hoàn thành",J213&lt;&gt;"",J213&lt;=TODAY()),MAX(S$5:S212)+1,"")</f>
        <v/>
      </c>
      <c r="T213" s="9" t="str">
        <f aca="false">IF(AND(C213&lt;&gt;"",IF(K213="","Chưa làm",K213)="Chưa làm"),MAX(T$5:T212)+1,"")</f>
        <v/>
      </c>
      <c r="U213" s="9" t="str">
        <f aca="false">IF(AND(C213&lt;&gt;"",IF(K213="","Chưa làm",K213)="Đang làm"),MAX(U$5:U212)+1,"")</f>
        <v/>
      </c>
      <c r="V213" s="9" t="str">
        <f aca="false">IF(AND(C213&lt;&gt;"",IF(K213="","Chưa làm",K213)="Chờ duyệt"),MAX(V$5:V212)+1,"")</f>
        <v/>
      </c>
      <c r="W213" s="9" t="str">
        <f aca="false">IF(AND(C213&lt;&gt;"",IF(K213="","Chưa làm",K213)="Hoàn thành"),MAX(W$5:W212)+1,"")</f>
        <v/>
      </c>
      <c r="X213" s="9" t="str">
        <f aca="false">IF(AND(C213&lt;&gt;"",K213&lt;&gt;"Hoàn thành",N213="1. Làm ngay"),MAX(X$5:X212)+1,"")</f>
        <v/>
      </c>
      <c r="Y213" s="9" t="str">
        <f aca="false">IF(AND(C213&lt;&gt;"",K213&lt;&gt;"Hoàn thành",N213="2. Lên lịch"),MAX(Y$5:Y212)+1,"")</f>
        <v/>
      </c>
      <c r="Z213" s="9" t="str">
        <f aca="false">IF(AND(C213&lt;&gt;"",K213&lt;&gt;"Hoàn thành",N213="3. Giao lại"),MAX(Z$5:Z212)+1,"")</f>
        <v/>
      </c>
      <c r="AA213" s="9" t="str">
        <f aca="false">IF(AND(C213&lt;&gt;"",K213&lt;&gt;"Hoàn thành",N213="4. Để sau"),MAX(AA$5:AA212)+1,"")</f>
        <v/>
      </c>
      <c r="AB213" s="9" t="str">
        <f aca="false">IF(AND(C213&lt;&gt;"",J213&lt;&gt;"",J213&gt;=TUAN!$C$3,J213&lt;=TUAN!$C$3+6),MAX(AB$5:AB212)+1,"")</f>
        <v/>
      </c>
    </row>
    <row r="214" customFormat="false" ht="15" hidden="false" customHeight="false" outlineLevel="0" collapsed="false">
      <c r="A214" s="9" t="str">
        <f aca="false">IF(C214="","","CV"&amp;TEXT(ROW()-5,"000"))</f>
        <v/>
      </c>
      <c r="B214" s="10"/>
      <c r="C214" s="11"/>
      <c r="D214" s="12"/>
      <c r="E214" s="12"/>
      <c r="F214" s="12"/>
      <c r="G214" s="12"/>
      <c r="H214" s="12"/>
      <c r="I214" s="12"/>
      <c r="J214" s="10"/>
      <c r="K214" s="12"/>
      <c r="L214" s="10"/>
      <c r="M214" s="12"/>
      <c r="N214" s="9" t="str">
        <f aca="false">IF(C214="","",IF(AND(H214="Có",I214="Có"),"1. Làm ngay",IF(H214="Có","2. Lên lịch",IF(I214="Có","3. Giao lại","4. Để sau"))))</f>
        <v/>
      </c>
      <c r="O214" s="9" t="str">
        <f aca="true">IF(OR(C214="",J214="",K214="Hoàn thành"),"",J214-TODAY())</f>
        <v/>
      </c>
      <c r="P214" s="9" t="str">
        <f aca="true">IF(C214="","",IF(K214="Hoàn thành",IF(OR(L214="",J214=""),"Xong (thiếu ngày)",IF(L214&lt;=J214,"Xong đúng hạn","Xong trễ")),IF(J214="","Chưa có hạn",IF(J214&lt;TODAY(),"Quá hạn",IF(J214=TODAY(),"Đến hạn hôm nay",IF(J214-TODAY()&lt;=3,"Sắp đến hạn","Trong hạn"))))))</f>
        <v/>
      </c>
      <c r="Q214" s="9" t="str">
        <f aca="false">IF(OR(C214="",J214=""),"",WEEKNUM(J214,21))</f>
        <v/>
      </c>
      <c r="R214" s="2"/>
      <c r="S214" s="9" t="str">
        <f aca="true">IF(AND(C214&lt;&gt;"",K214&lt;&gt;"Hoàn thành",J214&lt;&gt;"",J214&lt;=TODAY()),MAX(S$5:S213)+1,"")</f>
        <v/>
      </c>
      <c r="T214" s="9" t="str">
        <f aca="false">IF(AND(C214&lt;&gt;"",IF(K214="","Chưa làm",K214)="Chưa làm"),MAX(T$5:T213)+1,"")</f>
        <v/>
      </c>
      <c r="U214" s="9" t="str">
        <f aca="false">IF(AND(C214&lt;&gt;"",IF(K214="","Chưa làm",K214)="Đang làm"),MAX(U$5:U213)+1,"")</f>
        <v/>
      </c>
      <c r="V214" s="9" t="str">
        <f aca="false">IF(AND(C214&lt;&gt;"",IF(K214="","Chưa làm",K214)="Chờ duyệt"),MAX(V$5:V213)+1,"")</f>
        <v/>
      </c>
      <c r="W214" s="9" t="str">
        <f aca="false">IF(AND(C214&lt;&gt;"",IF(K214="","Chưa làm",K214)="Hoàn thành"),MAX(W$5:W213)+1,"")</f>
        <v/>
      </c>
      <c r="X214" s="9" t="str">
        <f aca="false">IF(AND(C214&lt;&gt;"",K214&lt;&gt;"Hoàn thành",N214="1. Làm ngay"),MAX(X$5:X213)+1,"")</f>
        <v/>
      </c>
      <c r="Y214" s="9" t="str">
        <f aca="false">IF(AND(C214&lt;&gt;"",K214&lt;&gt;"Hoàn thành",N214="2. Lên lịch"),MAX(Y$5:Y213)+1,"")</f>
        <v/>
      </c>
      <c r="Z214" s="9" t="str">
        <f aca="false">IF(AND(C214&lt;&gt;"",K214&lt;&gt;"Hoàn thành",N214="3. Giao lại"),MAX(Z$5:Z213)+1,"")</f>
        <v/>
      </c>
      <c r="AA214" s="9" t="str">
        <f aca="false">IF(AND(C214&lt;&gt;"",K214&lt;&gt;"Hoàn thành",N214="4. Để sau"),MAX(AA$5:AA213)+1,"")</f>
        <v/>
      </c>
      <c r="AB214" s="9" t="str">
        <f aca="false">IF(AND(C214&lt;&gt;"",J214&lt;&gt;"",J214&gt;=TUAN!$C$3,J214&lt;=TUAN!$C$3+6),MAX(AB$5:AB213)+1,"")</f>
        <v/>
      </c>
    </row>
    <row r="215" customFormat="false" ht="15" hidden="false" customHeight="false" outlineLevel="0" collapsed="false">
      <c r="A215" s="9" t="str">
        <f aca="false">IF(C215="","","CV"&amp;TEXT(ROW()-5,"000"))</f>
        <v/>
      </c>
      <c r="B215" s="10"/>
      <c r="C215" s="11"/>
      <c r="D215" s="12"/>
      <c r="E215" s="12"/>
      <c r="F215" s="12"/>
      <c r="G215" s="12"/>
      <c r="H215" s="12"/>
      <c r="I215" s="12"/>
      <c r="J215" s="10"/>
      <c r="K215" s="12"/>
      <c r="L215" s="10"/>
      <c r="M215" s="12"/>
      <c r="N215" s="9" t="str">
        <f aca="false">IF(C215="","",IF(AND(H215="Có",I215="Có"),"1. Làm ngay",IF(H215="Có","2. Lên lịch",IF(I215="Có","3. Giao lại","4. Để sau"))))</f>
        <v/>
      </c>
      <c r="O215" s="9" t="str">
        <f aca="true">IF(OR(C215="",J215="",K215="Hoàn thành"),"",J215-TODAY())</f>
        <v/>
      </c>
      <c r="P215" s="9" t="str">
        <f aca="true">IF(C215="","",IF(K215="Hoàn thành",IF(OR(L215="",J215=""),"Xong (thiếu ngày)",IF(L215&lt;=J215,"Xong đúng hạn","Xong trễ")),IF(J215="","Chưa có hạn",IF(J215&lt;TODAY(),"Quá hạn",IF(J215=TODAY(),"Đến hạn hôm nay",IF(J215-TODAY()&lt;=3,"Sắp đến hạn","Trong hạn"))))))</f>
        <v/>
      </c>
      <c r="Q215" s="9" t="str">
        <f aca="false">IF(OR(C215="",J215=""),"",WEEKNUM(J215,21))</f>
        <v/>
      </c>
      <c r="R215" s="2"/>
      <c r="S215" s="9" t="str">
        <f aca="true">IF(AND(C215&lt;&gt;"",K215&lt;&gt;"Hoàn thành",J215&lt;&gt;"",J215&lt;=TODAY()),MAX(S$5:S214)+1,"")</f>
        <v/>
      </c>
      <c r="T215" s="9" t="str">
        <f aca="false">IF(AND(C215&lt;&gt;"",IF(K215="","Chưa làm",K215)="Chưa làm"),MAX(T$5:T214)+1,"")</f>
        <v/>
      </c>
      <c r="U215" s="9" t="str">
        <f aca="false">IF(AND(C215&lt;&gt;"",IF(K215="","Chưa làm",K215)="Đang làm"),MAX(U$5:U214)+1,"")</f>
        <v/>
      </c>
      <c r="V215" s="9" t="str">
        <f aca="false">IF(AND(C215&lt;&gt;"",IF(K215="","Chưa làm",K215)="Chờ duyệt"),MAX(V$5:V214)+1,"")</f>
        <v/>
      </c>
      <c r="W215" s="9" t="str">
        <f aca="false">IF(AND(C215&lt;&gt;"",IF(K215="","Chưa làm",K215)="Hoàn thành"),MAX(W$5:W214)+1,"")</f>
        <v/>
      </c>
      <c r="X215" s="9" t="str">
        <f aca="false">IF(AND(C215&lt;&gt;"",K215&lt;&gt;"Hoàn thành",N215="1. Làm ngay"),MAX(X$5:X214)+1,"")</f>
        <v/>
      </c>
      <c r="Y215" s="9" t="str">
        <f aca="false">IF(AND(C215&lt;&gt;"",K215&lt;&gt;"Hoàn thành",N215="2. Lên lịch"),MAX(Y$5:Y214)+1,"")</f>
        <v/>
      </c>
      <c r="Z215" s="9" t="str">
        <f aca="false">IF(AND(C215&lt;&gt;"",K215&lt;&gt;"Hoàn thành",N215="3. Giao lại"),MAX(Z$5:Z214)+1,"")</f>
        <v/>
      </c>
      <c r="AA215" s="9" t="str">
        <f aca="false">IF(AND(C215&lt;&gt;"",K215&lt;&gt;"Hoàn thành",N215="4. Để sau"),MAX(AA$5:AA214)+1,"")</f>
        <v/>
      </c>
      <c r="AB215" s="9" t="str">
        <f aca="false">IF(AND(C215&lt;&gt;"",J215&lt;&gt;"",J215&gt;=TUAN!$C$3,J215&lt;=TUAN!$C$3+6),MAX(AB$5:AB214)+1,"")</f>
        <v/>
      </c>
    </row>
    <row r="216" customFormat="false" ht="15" hidden="false" customHeight="false" outlineLevel="0" collapsed="false">
      <c r="A216" s="9" t="str">
        <f aca="false">IF(C216="","","CV"&amp;TEXT(ROW()-5,"000"))</f>
        <v/>
      </c>
      <c r="B216" s="10"/>
      <c r="C216" s="11"/>
      <c r="D216" s="12"/>
      <c r="E216" s="12"/>
      <c r="F216" s="12"/>
      <c r="G216" s="12"/>
      <c r="H216" s="12"/>
      <c r="I216" s="12"/>
      <c r="J216" s="10"/>
      <c r="K216" s="12"/>
      <c r="L216" s="10"/>
      <c r="M216" s="12"/>
      <c r="N216" s="9" t="str">
        <f aca="false">IF(C216="","",IF(AND(H216="Có",I216="Có"),"1. Làm ngay",IF(H216="Có","2. Lên lịch",IF(I216="Có","3. Giao lại","4. Để sau"))))</f>
        <v/>
      </c>
      <c r="O216" s="9" t="str">
        <f aca="true">IF(OR(C216="",J216="",K216="Hoàn thành"),"",J216-TODAY())</f>
        <v/>
      </c>
      <c r="P216" s="9" t="str">
        <f aca="true">IF(C216="","",IF(K216="Hoàn thành",IF(OR(L216="",J216=""),"Xong (thiếu ngày)",IF(L216&lt;=J216,"Xong đúng hạn","Xong trễ")),IF(J216="","Chưa có hạn",IF(J216&lt;TODAY(),"Quá hạn",IF(J216=TODAY(),"Đến hạn hôm nay",IF(J216-TODAY()&lt;=3,"Sắp đến hạn","Trong hạn"))))))</f>
        <v/>
      </c>
      <c r="Q216" s="9" t="str">
        <f aca="false">IF(OR(C216="",J216=""),"",WEEKNUM(J216,21))</f>
        <v/>
      </c>
      <c r="R216" s="2"/>
      <c r="S216" s="9" t="str">
        <f aca="true">IF(AND(C216&lt;&gt;"",K216&lt;&gt;"Hoàn thành",J216&lt;&gt;"",J216&lt;=TODAY()),MAX(S$5:S215)+1,"")</f>
        <v/>
      </c>
      <c r="T216" s="9" t="str">
        <f aca="false">IF(AND(C216&lt;&gt;"",IF(K216="","Chưa làm",K216)="Chưa làm"),MAX(T$5:T215)+1,"")</f>
        <v/>
      </c>
      <c r="U216" s="9" t="str">
        <f aca="false">IF(AND(C216&lt;&gt;"",IF(K216="","Chưa làm",K216)="Đang làm"),MAX(U$5:U215)+1,"")</f>
        <v/>
      </c>
      <c r="V216" s="9" t="str">
        <f aca="false">IF(AND(C216&lt;&gt;"",IF(K216="","Chưa làm",K216)="Chờ duyệt"),MAX(V$5:V215)+1,"")</f>
        <v/>
      </c>
      <c r="W216" s="9" t="str">
        <f aca="false">IF(AND(C216&lt;&gt;"",IF(K216="","Chưa làm",K216)="Hoàn thành"),MAX(W$5:W215)+1,"")</f>
        <v/>
      </c>
      <c r="X216" s="9" t="str">
        <f aca="false">IF(AND(C216&lt;&gt;"",K216&lt;&gt;"Hoàn thành",N216="1. Làm ngay"),MAX(X$5:X215)+1,"")</f>
        <v/>
      </c>
      <c r="Y216" s="9" t="str">
        <f aca="false">IF(AND(C216&lt;&gt;"",K216&lt;&gt;"Hoàn thành",N216="2. Lên lịch"),MAX(Y$5:Y215)+1,"")</f>
        <v/>
      </c>
      <c r="Z216" s="9" t="str">
        <f aca="false">IF(AND(C216&lt;&gt;"",K216&lt;&gt;"Hoàn thành",N216="3. Giao lại"),MAX(Z$5:Z215)+1,"")</f>
        <v/>
      </c>
      <c r="AA216" s="9" t="str">
        <f aca="false">IF(AND(C216&lt;&gt;"",K216&lt;&gt;"Hoàn thành",N216="4. Để sau"),MAX(AA$5:AA215)+1,"")</f>
        <v/>
      </c>
      <c r="AB216" s="9" t="str">
        <f aca="false">IF(AND(C216&lt;&gt;"",J216&lt;&gt;"",J216&gt;=TUAN!$C$3,J216&lt;=TUAN!$C$3+6),MAX(AB$5:AB215)+1,"")</f>
        <v/>
      </c>
    </row>
    <row r="217" customFormat="false" ht="15" hidden="false" customHeight="false" outlineLevel="0" collapsed="false">
      <c r="A217" s="9" t="str">
        <f aca="false">IF(C217="","","CV"&amp;TEXT(ROW()-5,"000"))</f>
        <v/>
      </c>
      <c r="B217" s="10"/>
      <c r="C217" s="11"/>
      <c r="D217" s="12"/>
      <c r="E217" s="12"/>
      <c r="F217" s="12"/>
      <c r="G217" s="12"/>
      <c r="H217" s="12"/>
      <c r="I217" s="12"/>
      <c r="J217" s="10"/>
      <c r="K217" s="12"/>
      <c r="L217" s="10"/>
      <c r="M217" s="12"/>
      <c r="N217" s="9" t="str">
        <f aca="false">IF(C217="","",IF(AND(H217="Có",I217="Có"),"1. Làm ngay",IF(H217="Có","2. Lên lịch",IF(I217="Có","3. Giao lại","4. Để sau"))))</f>
        <v/>
      </c>
      <c r="O217" s="9" t="str">
        <f aca="true">IF(OR(C217="",J217="",K217="Hoàn thành"),"",J217-TODAY())</f>
        <v/>
      </c>
      <c r="P217" s="9" t="str">
        <f aca="true">IF(C217="","",IF(K217="Hoàn thành",IF(OR(L217="",J217=""),"Xong (thiếu ngày)",IF(L217&lt;=J217,"Xong đúng hạn","Xong trễ")),IF(J217="","Chưa có hạn",IF(J217&lt;TODAY(),"Quá hạn",IF(J217=TODAY(),"Đến hạn hôm nay",IF(J217-TODAY()&lt;=3,"Sắp đến hạn","Trong hạn"))))))</f>
        <v/>
      </c>
      <c r="Q217" s="9" t="str">
        <f aca="false">IF(OR(C217="",J217=""),"",WEEKNUM(J217,21))</f>
        <v/>
      </c>
      <c r="R217" s="2"/>
      <c r="S217" s="9" t="str">
        <f aca="true">IF(AND(C217&lt;&gt;"",K217&lt;&gt;"Hoàn thành",J217&lt;&gt;"",J217&lt;=TODAY()),MAX(S$5:S216)+1,"")</f>
        <v/>
      </c>
      <c r="T217" s="9" t="str">
        <f aca="false">IF(AND(C217&lt;&gt;"",IF(K217="","Chưa làm",K217)="Chưa làm"),MAX(T$5:T216)+1,"")</f>
        <v/>
      </c>
      <c r="U217" s="9" t="str">
        <f aca="false">IF(AND(C217&lt;&gt;"",IF(K217="","Chưa làm",K217)="Đang làm"),MAX(U$5:U216)+1,"")</f>
        <v/>
      </c>
      <c r="V217" s="9" t="str">
        <f aca="false">IF(AND(C217&lt;&gt;"",IF(K217="","Chưa làm",K217)="Chờ duyệt"),MAX(V$5:V216)+1,"")</f>
        <v/>
      </c>
      <c r="W217" s="9" t="str">
        <f aca="false">IF(AND(C217&lt;&gt;"",IF(K217="","Chưa làm",K217)="Hoàn thành"),MAX(W$5:W216)+1,"")</f>
        <v/>
      </c>
      <c r="X217" s="9" t="str">
        <f aca="false">IF(AND(C217&lt;&gt;"",K217&lt;&gt;"Hoàn thành",N217="1. Làm ngay"),MAX(X$5:X216)+1,"")</f>
        <v/>
      </c>
      <c r="Y217" s="9" t="str">
        <f aca="false">IF(AND(C217&lt;&gt;"",K217&lt;&gt;"Hoàn thành",N217="2. Lên lịch"),MAX(Y$5:Y216)+1,"")</f>
        <v/>
      </c>
      <c r="Z217" s="9" t="str">
        <f aca="false">IF(AND(C217&lt;&gt;"",K217&lt;&gt;"Hoàn thành",N217="3. Giao lại"),MAX(Z$5:Z216)+1,"")</f>
        <v/>
      </c>
      <c r="AA217" s="9" t="str">
        <f aca="false">IF(AND(C217&lt;&gt;"",K217&lt;&gt;"Hoàn thành",N217="4. Để sau"),MAX(AA$5:AA216)+1,"")</f>
        <v/>
      </c>
      <c r="AB217" s="9" t="str">
        <f aca="false">IF(AND(C217&lt;&gt;"",J217&lt;&gt;"",J217&gt;=TUAN!$C$3,J217&lt;=TUAN!$C$3+6),MAX(AB$5:AB216)+1,"")</f>
        <v/>
      </c>
    </row>
    <row r="218" customFormat="false" ht="15" hidden="false" customHeight="false" outlineLevel="0" collapsed="false">
      <c r="A218" s="9" t="str">
        <f aca="false">IF(C218="","","CV"&amp;TEXT(ROW()-5,"000"))</f>
        <v/>
      </c>
      <c r="B218" s="10"/>
      <c r="C218" s="11"/>
      <c r="D218" s="12"/>
      <c r="E218" s="12"/>
      <c r="F218" s="12"/>
      <c r="G218" s="12"/>
      <c r="H218" s="12"/>
      <c r="I218" s="12"/>
      <c r="J218" s="10"/>
      <c r="K218" s="12"/>
      <c r="L218" s="10"/>
      <c r="M218" s="12"/>
      <c r="N218" s="9" t="str">
        <f aca="false">IF(C218="","",IF(AND(H218="Có",I218="Có"),"1. Làm ngay",IF(H218="Có","2. Lên lịch",IF(I218="Có","3. Giao lại","4. Để sau"))))</f>
        <v/>
      </c>
      <c r="O218" s="9" t="str">
        <f aca="true">IF(OR(C218="",J218="",K218="Hoàn thành"),"",J218-TODAY())</f>
        <v/>
      </c>
      <c r="P218" s="9" t="str">
        <f aca="true">IF(C218="","",IF(K218="Hoàn thành",IF(OR(L218="",J218=""),"Xong (thiếu ngày)",IF(L218&lt;=J218,"Xong đúng hạn","Xong trễ")),IF(J218="","Chưa có hạn",IF(J218&lt;TODAY(),"Quá hạn",IF(J218=TODAY(),"Đến hạn hôm nay",IF(J218-TODAY()&lt;=3,"Sắp đến hạn","Trong hạn"))))))</f>
        <v/>
      </c>
      <c r="Q218" s="9" t="str">
        <f aca="false">IF(OR(C218="",J218=""),"",WEEKNUM(J218,21))</f>
        <v/>
      </c>
      <c r="R218" s="2"/>
      <c r="S218" s="9" t="str">
        <f aca="true">IF(AND(C218&lt;&gt;"",K218&lt;&gt;"Hoàn thành",J218&lt;&gt;"",J218&lt;=TODAY()),MAX(S$5:S217)+1,"")</f>
        <v/>
      </c>
      <c r="T218" s="9" t="str">
        <f aca="false">IF(AND(C218&lt;&gt;"",IF(K218="","Chưa làm",K218)="Chưa làm"),MAX(T$5:T217)+1,"")</f>
        <v/>
      </c>
      <c r="U218" s="9" t="str">
        <f aca="false">IF(AND(C218&lt;&gt;"",IF(K218="","Chưa làm",K218)="Đang làm"),MAX(U$5:U217)+1,"")</f>
        <v/>
      </c>
      <c r="V218" s="9" t="str">
        <f aca="false">IF(AND(C218&lt;&gt;"",IF(K218="","Chưa làm",K218)="Chờ duyệt"),MAX(V$5:V217)+1,"")</f>
        <v/>
      </c>
      <c r="W218" s="9" t="str">
        <f aca="false">IF(AND(C218&lt;&gt;"",IF(K218="","Chưa làm",K218)="Hoàn thành"),MAX(W$5:W217)+1,"")</f>
        <v/>
      </c>
      <c r="X218" s="9" t="str">
        <f aca="false">IF(AND(C218&lt;&gt;"",K218&lt;&gt;"Hoàn thành",N218="1. Làm ngay"),MAX(X$5:X217)+1,"")</f>
        <v/>
      </c>
      <c r="Y218" s="9" t="str">
        <f aca="false">IF(AND(C218&lt;&gt;"",K218&lt;&gt;"Hoàn thành",N218="2. Lên lịch"),MAX(Y$5:Y217)+1,"")</f>
        <v/>
      </c>
      <c r="Z218" s="9" t="str">
        <f aca="false">IF(AND(C218&lt;&gt;"",K218&lt;&gt;"Hoàn thành",N218="3. Giao lại"),MAX(Z$5:Z217)+1,"")</f>
        <v/>
      </c>
      <c r="AA218" s="9" t="str">
        <f aca="false">IF(AND(C218&lt;&gt;"",K218&lt;&gt;"Hoàn thành",N218="4. Để sau"),MAX(AA$5:AA217)+1,"")</f>
        <v/>
      </c>
      <c r="AB218" s="9" t="str">
        <f aca="false">IF(AND(C218&lt;&gt;"",J218&lt;&gt;"",J218&gt;=TUAN!$C$3,J218&lt;=TUAN!$C$3+6),MAX(AB$5:AB217)+1,"")</f>
        <v/>
      </c>
    </row>
    <row r="219" customFormat="false" ht="15" hidden="false" customHeight="false" outlineLevel="0" collapsed="false">
      <c r="A219" s="9" t="str">
        <f aca="false">IF(C219="","","CV"&amp;TEXT(ROW()-5,"000"))</f>
        <v/>
      </c>
      <c r="B219" s="10"/>
      <c r="C219" s="11"/>
      <c r="D219" s="12"/>
      <c r="E219" s="12"/>
      <c r="F219" s="12"/>
      <c r="G219" s="12"/>
      <c r="H219" s="12"/>
      <c r="I219" s="12"/>
      <c r="J219" s="10"/>
      <c r="K219" s="12"/>
      <c r="L219" s="10"/>
      <c r="M219" s="12"/>
      <c r="N219" s="9" t="str">
        <f aca="false">IF(C219="","",IF(AND(H219="Có",I219="Có"),"1. Làm ngay",IF(H219="Có","2. Lên lịch",IF(I219="Có","3. Giao lại","4. Để sau"))))</f>
        <v/>
      </c>
      <c r="O219" s="9" t="str">
        <f aca="true">IF(OR(C219="",J219="",K219="Hoàn thành"),"",J219-TODAY())</f>
        <v/>
      </c>
      <c r="P219" s="9" t="str">
        <f aca="true">IF(C219="","",IF(K219="Hoàn thành",IF(OR(L219="",J219=""),"Xong (thiếu ngày)",IF(L219&lt;=J219,"Xong đúng hạn","Xong trễ")),IF(J219="","Chưa có hạn",IF(J219&lt;TODAY(),"Quá hạn",IF(J219=TODAY(),"Đến hạn hôm nay",IF(J219-TODAY()&lt;=3,"Sắp đến hạn","Trong hạn"))))))</f>
        <v/>
      </c>
      <c r="Q219" s="9" t="str">
        <f aca="false">IF(OR(C219="",J219=""),"",WEEKNUM(J219,21))</f>
        <v/>
      </c>
      <c r="R219" s="2"/>
      <c r="S219" s="9" t="str">
        <f aca="true">IF(AND(C219&lt;&gt;"",K219&lt;&gt;"Hoàn thành",J219&lt;&gt;"",J219&lt;=TODAY()),MAX(S$5:S218)+1,"")</f>
        <v/>
      </c>
      <c r="T219" s="9" t="str">
        <f aca="false">IF(AND(C219&lt;&gt;"",IF(K219="","Chưa làm",K219)="Chưa làm"),MAX(T$5:T218)+1,"")</f>
        <v/>
      </c>
      <c r="U219" s="9" t="str">
        <f aca="false">IF(AND(C219&lt;&gt;"",IF(K219="","Chưa làm",K219)="Đang làm"),MAX(U$5:U218)+1,"")</f>
        <v/>
      </c>
      <c r="V219" s="9" t="str">
        <f aca="false">IF(AND(C219&lt;&gt;"",IF(K219="","Chưa làm",K219)="Chờ duyệt"),MAX(V$5:V218)+1,"")</f>
        <v/>
      </c>
      <c r="W219" s="9" t="str">
        <f aca="false">IF(AND(C219&lt;&gt;"",IF(K219="","Chưa làm",K219)="Hoàn thành"),MAX(W$5:W218)+1,"")</f>
        <v/>
      </c>
      <c r="X219" s="9" t="str">
        <f aca="false">IF(AND(C219&lt;&gt;"",K219&lt;&gt;"Hoàn thành",N219="1. Làm ngay"),MAX(X$5:X218)+1,"")</f>
        <v/>
      </c>
      <c r="Y219" s="9" t="str">
        <f aca="false">IF(AND(C219&lt;&gt;"",K219&lt;&gt;"Hoàn thành",N219="2. Lên lịch"),MAX(Y$5:Y218)+1,"")</f>
        <v/>
      </c>
      <c r="Z219" s="9" t="str">
        <f aca="false">IF(AND(C219&lt;&gt;"",K219&lt;&gt;"Hoàn thành",N219="3. Giao lại"),MAX(Z$5:Z218)+1,"")</f>
        <v/>
      </c>
      <c r="AA219" s="9" t="str">
        <f aca="false">IF(AND(C219&lt;&gt;"",K219&lt;&gt;"Hoàn thành",N219="4. Để sau"),MAX(AA$5:AA218)+1,"")</f>
        <v/>
      </c>
      <c r="AB219" s="9" t="str">
        <f aca="false">IF(AND(C219&lt;&gt;"",J219&lt;&gt;"",J219&gt;=TUAN!$C$3,J219&lt;=TUAN!$C$3+6),MAX(AB$5:AB218)+1,"")</f>
        <v/>
      </c>
    </row>
    <row r="220" customFormat="false" ht="15" hidden="false" customHeight="false" outlineLevel="0" collapsed="false">
      <c r="A220" s="9" t="str">
        <f aca="false">IF(C220="","","CV"&amp;TEXT(ROW()-5,"000"))</f>
        <v/>
      </c>
      <c r="B220" s="10"/>
      <c r="C220" s="11"/>
      <c r="D220" s="12"/>
      <c r="E220" s="12"/>
      <c r="F220" s="12"/>
      <c r="G220" s="12"/>
      <c r="H220" s="12"/>
      <c r="I220" s="12"/>
      <c r="J220" s="10"/>
      <c r="K220" s="12"/>
      <c r="L220" s="10"/>
      <c r="M220" s="12"/>
      <c r="N220" s="9" t="str">
        <f aca="false">IF(C220="","",IF(AND(H220="Có",I220="Có"),"1. Làm ngay",IF(H220="Có","2. Lên lịch",IF(I220="Có","3. Giao lại","4. Để sau"))))</f>
        <v/>
      </c>
      <c r="O220" s="9" t="str">
        <f aca="true">IF(OR(C220="",J220="",K220="Hoàn thành"),"",J220-TODAY())</f>
        <v/>
      </c>
      <c r="P220" s="9" t="str">
        <f aca="true">IF(C220="","",IF(K220="Hoàn thành",IF(OR(L220="",J220=""),"Xong (thiếu ngày)",IF(L220&lt;=J220,"Xong đúng hạn","Xong trễ")),IF(J220="","Chưa có hạn",IF(J220&lt;TODAY(),"Quá hạn",IF(J220=TODAY(),"Đến hạn hôm nay",IF(J220-TODAY()&lt;=3,"Sắp đến hạn","Trong hạn"))))))</f>
        <v/>
      </c>
      <c r="Q220" s="9" t="str">
        <f aca="false">IF(OR(C220="",J220=""),"",WEEKNUM(J220,21))</f>
        <v/>
      </c>
      <c r="R220" s="2"/>
      <c r="S220" s="9" t="str">
        <f aca="true">IF(AND(C220&lt;&gt;"",K220&lt;&gt;"Hoàn thành",J220&lt;&gt;"",J220&lt;=TODAY()),MAX(S$5:S219)+1,"")</f>
        <v/>
      </c>
      <c r="T220" s="9" t="str">
        <f aca="false">IF(AND(C220&lt;&gt;"",IF(K220="","Chưa làm",K220)="Chưa làm"),MAX(T$5:T219)+1,"")</f>
        <v/>
      </c>
      <c r="U220" s="9" t="str">
        <f aca="false">IF(AND(C220&lt;&gt;"",IF(K220="","Chưa làm",K220)="Đang làm"),MAX(U$5:U219)+1,"")</f>
        <v/>
      </c>
      <c r="V220" s="9" t="str">
        <f aca="false">IF(AND(C220&lt;&gt;"",IF(K220="","Chưa làm",K220)="Chờ duyệt"),MAX(V$5:V219)+1,"")</f>
        <v/>
      </c>
      <c r="W220" s="9" t="str">
        <f aca="false">IF(AND(C220&lt;&gt;"",IF(K220="","Chưa làm",K220)="Hoàn thành"),MAX(W$5:W219)+1,"")</f>
        <v/>
      </c>
      <c r="X220" s="9" t="str">
        <f aca="false">IF(AND(C220&lt;&gt;"",K220&lt;&gt;"Hoàn thành",N220="1. Làm ngay"),MAX(X$5:X219)+1,"")</f>
        <v/>
      </c>
      <c r="Y220" s="9" t="str">
        <f aca="false">IF(AND(C220&lt;&gt;"",K220&lt;&gt;"Hoàn thành",N220="2. Lên lịch"),MAX(Y$5:Y219)+1,"")</f>
        <v/>
      </c>
      <c r="Z220" s="9" t="str">
        <f aca="false">IF(AND(C220&lt;&gt;"",K220&lt;&gt;"Hoàn thành",N220="3. Giao lại"),MAX(Z$5:Z219)+1,"")</f>
        <v/>
      </c>
      <c r="AA220" s="9" t="str">
        <f aca="false">IF(AND(C220&lt;&gt;"",K220&lt;&gt;"Hoàn thành",N220="4. Để sau"),MAX(AA$5:AA219)+1,"")</f>
        <v/>
      </c>
      <c r="AB220" s="9" t="str">
        <f aca="false">IF(AND(C220&lt;&gt;"",J220&lt;&gt;"",J220&gt;=TUAN!$C$3,J220&lt;=TUAN!$C$3+6),MAX(AB$5:AB219)+1,"")</f>
        <v/>
      </c>
    </row>
    <row r="221" customFormat="false" ht="15" hidden="false" customHeight="false" outlineLevel="0" collapsed="false">
      <c r="A221" s="9" t="str">
        <f aca="false">IF(C221="","","CV"&amp;TEXT(ROW()-5,"000"))</f>
        <v/>
      </c>
      <c r="B221" s="10"/>
      <c r="C221" s="11"/>
      <c r="D221" s="12"/>
      <c r="E221" s="12"/>
      <c r="F221" s="12"/>
      <c r="G221" s="12"/>
      <c r="H221" s="12"/>
      <c r="I221" s="12"/>
      <c r="J221" s="10"/>
      <c r="K221" s="12"/>
      <c r="L221" s="10"/>
      <c r="M221" s="12"/>
      <c r="N221" s="9" t="str">
        <f aca="false">IF(C221="","",IF(AND(H221="Có",I221="Có"),"1. Làm ngay",IF(H221="Có","2. Lên lịch",IF(I221="Có","3. Giao lại","4. Để sau"))))</f>
        <v/>
      </c>
      <c r="O221" s="9" t="str">
        <f aca="true">IF(OR(C221="",J221="",K221="Hoàn thành"),"",J221-TODAY())</f>
        <v/>
      </c>
      <c r="P221" s="9" t="str">
        <f aca="true">IF(C221="","",IF(K221="Hoàn thành",IF(OR(L221="",J221=""),"Xong (thiếu ngày)",IF(L221&lt;=J221,"Xong đúng hạn","Xong trễ")),IF(J221="","Chưa có hạn",IF(J221&lt;TODAY(),"Quá hạn",IF(J221=TODAY(),"Đến hạn hôm nay",IF(J221-TODAY()&lt;=3,"Sắp đến hạn","Trong hạn"))))))</f>
        <v/>
      </c>
      <c r="Q221" s="9" t="str">
        <f aca="false">IF(OR(C221="",J221=""),"",WEEKNUM(J221,21))</f>
        <v/>
      </c>
      <c r="R221" s="2"/>
      <c r="S221" s="9" t="str">
        <f aca="true">IF(AND(C221&lt;&gt;"",K221&lt;&gt;"Hoàn thành",J221&lt;&gt;"",J221&lt;=TODAY()),MAX(S$5:S220)+1,"")</f>
        <v/>
      </c>
      <c r="T221" s="9" t="str">
        <f aca="false">IF(AND(C221&lt;&gt;"",IF(K221="","Chưa làm",K221)="Chưa làm"),MAX(T$5:T220)+1,"")</f>
        <v/>
      </c>
      <c r="U221" s="9" t="str">
        <f aca="false">IF(AND(C221&lt;&gt;"",IF(K221="","Chưa làm",K221)="Đang làm"),MAX(U$5:U220)+1,"")</f>
        <v/>
      </c>
      <c r="V221" s="9" t="str">
        <f aca="false">IF(AND(C221&lt;&gt;"",IF(K221="","Chưa làm",K221)="Chờ duyệt"),MAX(V$5:V220)+1,"")</f>
        <v/>
      </c>
      <c r="W221" s="9" t="str">
        <f aca="false">IF(AND(C221&lt;&gt;"",IF(K221="","Chưa làm",K221)="Hoàn thành"),MAX(W$5:W220)+1,"")</f>
        <v/>
      </c>
      <c r="X221" s="9" t="str">
        <f aca="false">IF(AND(C221&lt;&gt;"",K221&lt;&gt;"Hoàn thành",N221="1. Làm ngay"),MAX(X$5:X220)+1,"")</f>
        <v/>
      </c>
      <c r="Y221" s="9" t="str">
        <f aca="false">IF(AND(C221&lt;&gt;"",K221&lt;&gt;"Hoàn thành",N221="2. Lên lịch"),MAX(Y$5:Y220)+1,"")</f>
        <v/>
      </c>
      <c r="Z221" s="9" t="str">
        <f aca="false">IF(AND(C221&lt;&gt;"",K221&lt;&gt;"Hoàn thành",N221="3. Giao lại"),MAX(Z$5:Z220)+1,"")</f>
        <v/>
      </c>
      <c r="AA221" s="9" t="str">
        <f aca="false">IF(AND(C221&lt;&gt;"",K221&lt;&gt;"Hoàn thành",N221="4. Để sau"),MAX(AA$5:AA220)+1,"")</f>
        <v/>
      </c>
      <c r="AB221" s="9" t="str">
        <f aca="false">IF(AND(C221&lt;&gt;"",J221&lt;&gt;"",J221&gt;=TUAN!$C$3,J221&lt;=TUAN!$C$3+6),MAX(AB$5:AB220)+1,"")</f>
        <v/>
      </c>
    </row>
    <row r="222" customFormat="false" ht="15" hidden="false" customHeight="false" outlineLevel="0" collapsed="false">
      <c r="A222" s="9" t="str">
        <f aca="false">IF(C222="","","CV"&amp;TEXT(ROW()-5,"000"))</f>
        <v/>
      </c>
      <c r="B222" s="10"/>
      <c r="C222" s="11"/>
      <c r="D222" s="12"/>
      <c r="E222" s="12"/>
      <c r="F222" s="12"/>
      <c r="G222" s="12"/>
      <c r="H222" s="12"/>
      <c r="I222" s="12"/>
      <c r="J222" s="10"/>
      <c r="K222" s="12"/>
      <c r="L222" s="10"/>
      <c r="M222" s="12"/>
      <c r="N222" s="9" t="str">
        <f aca="false">IF(C222="","",IF(AND(H222="Có",I222="Có"),"1. Làm ngay",IF(H222="Có","2. Lên lịch",IF(I222="Có","3. Giao lại","4. Để sau"))))</f>
        <v/>
      </c>
      <c r="O222" s="9" t="str">
        <f aca="true">IF(OR(C222="",J222="",K222="Hoàn thành"),"",J222-TODAY())</f>
        <v/>
      </c>
      <c r="P222" s="9" t="str">
        <f aca="true">IF(C222="","",IF(K222="Hoàn thành",IF(OR(L222="",J222=""),"Xong (thiếu ngày)",IF(L222&lt;=J222,"Xong đúng hạn","Xong trễ")),IF(J222="","Chưa có hạn",IF(J222&lt;TODAY(),"Quá hạn",IF(J222=TODAY(),"Đến hạn hôm nay",IF(J222-TODAY()&lt;=3,"Sắp đến hạn","Trong hạn"))))))</f>
        <v/>
      </c>
      <c r="Q222" s="9" t="str">
        <f aca="false">IF(OR(C222="",J222=""),"",WEEKNUM(J222,21))</f>
        <v/>
      </c>
      <c r="R222" s="2"/>
      <c r="S222" s="9" t="str">
        <f aca="true">IF(AND(C222&lt;&gt;"",K222&lt;&gt;"Hoàn thành",J222&lt;&gt;"",J222&lt;=TODAY()),MAX(S$5:S221)+1,"")</f>
        <v/>
      </c>
      <c r="T222" s="9" t="str">
        <f aca="false">IF(AND(C222&lt;&gt;"",IF(K222="","Chưa làm",K222)="Chưa làm"),MAX(T$5:T221)+1,"")</f>
        <v/>
      </c>
      <c r="U222" s="9" t="str">
        <f aca="false">IF(AND(C222&lt;&gt;"",IF(K222="","Chưa làm",K222)="Đang làm"),MAX(U$5:U221)+1,"")</f>
        <v/>
      </c>
      <c r="V222" s="9" t="str">
        <f aca="false">IF(AND(C222&lt;&gt;"",IF(K222="","Chưa làm",K222)="Chờ duyệt"),MAX(V$5:V221)+1,"")</f>
        <v/>
      </c>
      <c r="W222" s="9" t="str">
        <f aca="false">IF(AND(C222&lt;&gt;"",IF(K222="","Chưa làm",K222)="Hoàn thành"),MAX(W$5:W221)+1,"")</f>
        <v/>
      </c>
      <c r="X222" s="9" t="str">
        <f aca="false">IF(AND(C222&lt;&gt;"",K222&lt;&gt;"Hoàn thành",N222="1. Làm ngay"),MAX(X$5:X221)+1,"")</f>
        <v/>
      </c>
      <c r="Y222" s="9" t="str">
        <f aca="false">IF(AND(C222&lt;&gt;"",K222&lt;&gt;"Hoàn thành",N222="2. Lên lịch"),MAX(Y$5:Y221)+1,"")</f>
        <v/>
      </c>
      <c r="Z222" s="9" t="str">
        <f aca="false">IF(AND(C222&lt;&gt;"",K222&lt;&gt;"Hoàn thành",N222="3. Giao lại"),MAX(Z$5:Z221)+1,"")</f>
        <v/>
      </c>
      <c r="AA222" s="9" t="str">
        <f aca="false">IF(AND(C222&lt;&gt;"",K222&lt;&gt;"Hoàn thành",N222="4. Để sau"),MAX(AA$5:AA221)+1,"")</f>
        <v/>
      </c>
      <c r="AB222" s="9" t="str">
        <f aca="false">IF(AND(C222&lt;&gt;"",J222&lt;&gt;"",J222&gt;=TUAN!$C$3,J222&lt;=TUAN!$C$3+6),MAX(AB$5:AB221)+1,"")</f>
        <v/>
      </c>
    </row>
    <row r="223" customFormat="false" ht="15" hidden="false" customHeight="false" outlineLevel="0" collapsed="false">
      <c r="A223" s="9" t="str">
        <f aca="false">IF(C223="","","CV"&amp;TEXT(ROW()-5,"000"))</f>
        <v/>
      </c>
      <c r="B223" s="10"/>
      <c r="C223" s="11"/>
      <c r="D223" s="12"/>
      <c r="E223" s="12"/>
      <c r="F223" s="12"/>
      <c r="G223" s="12"/>
      <c r="H223" s="12"/>
      <c r="I223" s="12"/>
      <c r="J223" s="10"/>
      <c r="K223" s="12"/>
      <c r="L223" s="10"/>
      <c r="M223" s="12"/>
      <c r="N223" s="9" t="str">
        <f aca="false">IF(C223="","",IF(AND(H223="Có",I223="Có"),"1. Làm ngay",IF(H223="Có","2. Lên lịch",IF(I223="Có","3. Giao lại","4. Để sau"))))</f>
        <v/>
      </c>
      <c r="O223" s="9" t="str">
        <f aca="true">IF(OR(C223="",J223="",K223="Hoàn thành"),"",J223-TODAY())</f>
        <v/>
      </c>
      <c r="P223" s="9" t="str">
        <f aca="true">IF(C223="","",IF(K223="Hoàn thành",IF(OR(L223="",J223=""),"Xong (thiếu ngày)",IF(L223&lt;=J223,"Xong đúng hạn","Xong trễ")),IF(J223="","Chưa có hạn",IF(J223&lt;TODAY(),"Quá hạn",IF(J223=TODAY(),"Đến hạn hôm nay",IF(J223-TODAY()&lt;=3,"Sắp đến hạn","Trong hạn"))))))</f>
        <v/>
      </c>
      <c r="Q223" s="9" t="str">
        <f aca="false">IF(OR(C223="",J223=""),"",WEEKNUM(J223,21))</f>
        <v/>
      </c>
      <c r="R223" s="2"/>
      <c r="S223" s="9" t="str">
        <f aca="true">IF(AND(C223&lt;&gt;"",K223&lt;&gt;"Hoàn thành",J223&lt;&gt;"",J223&lt;=TODAY()),MAX(S$5:S222)+1,"")</f>
        <v/>
      </c>
      <c r="T223" s="9" t="str">
        <f aca="false">IF(AND(C223&lt;&gt;"",IF(K223="","Chưa làm",K223)="Chưa làm"),MAX(T$5:T222)+1,"")</f>
        <v/>
      </c>
      <c r="U223" s="9" t="str">
        <f aca="false">IF(AND(C223&lt;&gt;"",IF(K223="","Chưa làm",K223)="Đang làm"),MAX(U$5:U222)+1,"")</f>
        <v/>
      </c>
      <c r="V223" s="9" t="str">
        <f aca="false">IF(AND(C223&lt;&gt;"",IF(K223="","Chưa làm",K223)="Chờ duyệt"),MAX(V$5:V222)+1,"")</f>
        <v/>
      </c>
      <c r="W223" s="9" t="str">
        <f aca="false">IF(AND(C223&lt;&gt;"",IF(K223="","Chưa làm",K223)="Hoàn thành"),MAX(W$5:W222)+1,"")</f>
        <v/>
      </c>
      <c r="X223" s="9" t="str">
        <f aca="false">IF(AND(C223&lt;&gt;"",K223&lt;&gt;"Hoàn thành",N223="1. Làm ngay"),MAX(X$5:X222)+1,"")</f>
        <v/>
      </c>
      <c r="Y223" s="9" t="str">
        <f aca="false">IF(AND(C223&lt;&gt;"",K223&lt;&gt;"Hoàn thành",N223="2. Lên lịch"),MAX(Y$5:Y222)+1,"")</f>
        <v/>
      </c>
      <c r="Z223" s="9" t="str">
        <f aca="false">IF(AND(C223&lt;&gt;"",K223&lt;&gt;"Hoàn thành",N223="3. Giao lại"),MAX(Z$5:Z222)+1,"")</f>
        <v/>
      </c>
      <c r="AA223" s="9" t="str">
        <f aca="false">IF(AND(C223&lt;&gt;"",K223&lt;&gt;"Hoàn thành",N223="4. Để sau"),MAX(AA$5:AA222)+1,"")</f>
        <v/>
      </c>
      <c r="AB223" s="9" t="str">
        <f aca="false">IF(AND(C223&lt;&gt;"",J223&lt;&gt;"",J223&gt;=TUAN!$C$3,J223&lt;=TUAN!$C$3+6),MAX(AB$5:AB222)+1,"")</f>
        <v/>
      </c>
    </row>
    <row r="224" customFormat="false" ht="15" hidden="false" customHeight="false" outlineLevel="0" collapsed="false">
      <c r="A224" s="9" t="str">
        <f aca="false">IF(C224="","","CV"&amp;TEXT(ROW()-5,"000"))</f>
        <v/>
      </c>
      <c r="B224" s="10"/>
      <c r="C224" s="11"/>
      <c r="D224" s="12"/>
      <c r="E224" s="12"/>
      <c r="F224" s="12"/>
      <c r="G224" s="12"/>
      <c r="H224" s="12"/>
      <c r="I224" s="12"/>
      <c r="J224" s="10"/>
      <c r="K224" s="12"/>
      <c r="L224" s="10"/>
      <c r="M224" s="12"/>
      <c r="N224" s="9" t="str">
        <f aca="false">IF(C224="","",IF(AND(H224="Có",I224="Có"),"1. Làm ngay",IF(H224="Có","2. Lên lịch",IF(I224="Có","3. Giao lại","4. Để sau"))))</f>
        <v/>
      </c>
      <c r="O224" s="9" t="str">
        <f aca="true">IF(OR(C224="",J224="",K224="Hoàn thành"),"",J224-TODAY())</f>
        <v/>
      </c>
      <c r="P224" s="9" t="str">
        <f aca="true">IF(C224="","",IF(K224="Hoàn thành",IF(OR(L224="",J224=""),"Xong (thiếu ngày)",IF(L224&lt;=J224,"Xong đúng hạn","Xong trễ")),IF(J224="","Chưa có hạn",IF(J224&lt;TODAY(),"Quá hạn",IF(J224=TODAY(),"Đến hạn hôm nay",IF(J224-TODAY()&lt;=3,"Sắp đến hạn","Trong hạn"))))))</f>
        <v/>
      </c>
      <c r="Q224" s="9" t="str">
        <f aca="false">IF(OR(C224="",J224=""),"",WEEKNUM(J224,21))</f>
        <v/>
      </c>
      <c r="R224" s="2"/>
      <c r="S224" s="9" t="str">
        <f aca="true">IF(AND(C224&lt;&gt;"",K224&lt;&gt;"Hoàn thành",J224&lt;&gt;"",J224&lt;=TODAY()),MAX(S$5:S223)+1,"")</f>
        <v/>
      </c>
      <c r="T224" s="9" t="str">
        <f aca="false">IF(AND(C224&lt;&gt;"",IF(K224="","Chưa làm",K224)="Chưa làm"),MAX(T$5:T223)+1,"")</f>
        <v/>
      </c>
      <c r="U224" s="9" t="str">
        <f aca="false">IF(AND(C224&lt;&gt;"",IF(K224="","Chưa làm",K224)="Đang làm"),MAX(U$5:U223)+1,"")</f>
        <v/>
      </c>
      <c r="V224" s="9" t="str">
        <f aca="false">IF(AND(C224&lt;&gt;"",IF(K224="","Chưa làm",K224)="Chờ duyệt"),MAX(V$5:V223)+1,"")</f>
        <v/>
      </c>
      <c r="W224" s="9" t="str">
        <f aca="false">IF(AND(C224&lt;&gt;"",IF(K224="","Chưa làm",K224)="Hoàn thành"),MAX(W$5:W223)+1,"")</f>
        <v/>
      </c>
      <c r="X224" s="9" t="str">
        <f aca="false">IF(AND(C224&lt;&gt;"",K224&lt;&gt;"Hoàn thành",N224="1. Làm ngay"),MAX(X$5:X223)+1,"")</f>
        <v/>
      </c>
      <c r="Y224" s="9" t="str">
        <f aca="false">IF(AND(C224&lt;&gt;"",K224&lt;&gt;"Hoàn thành",N224="2. Lên lịch"),MAX(Y$5:Y223)+1,"")</f>
        <v/>
      </c>
      <c r="Z224" s="9" t="str">
        <f aca="false">IF(AND(C224&lt;&gt;"",K224&lt;&gt;"Hoàn thành",N224="3. Giao lại"),MAX(Z$5:Z223)+1,"")</f>
        <v/>
      </c>
      <c r="AA224" s="9" t="str">
        <f aca="false">IF(AND(C224&lt;&gt;"",K224&lt;&gt;"Hoàn thành",N224="4. Để sau"),MAX(AA$5:AA223)+1,"")</f>
        <v/>
      </c>
      <c r="AB224" s="9" t="str">
        <f aca="false">IF(AND(C224&lt;&gt;"",J224&lt;&gt;"",J224&gt;=TUAN!$C$3,J224&lt;=TUAN!$C$3+6),MAX(AB$5:AB223)+1,"")</f>
        <v/>
      </c>
    </row>
    <row r="225" customFormat="false" ht="15" hidden="false" customHeight="false" outlineLevel="0" collapsed="false">
      <c r="A225" s="9" t="str">
        <f aca="false">IF(C225="","","CV"&amp;TEXT(ROW()-5,"000"))</f>
        <v/>
      </c>
      <c r="B225" s="10"/>
      <c r="C225" s="11"/>
      <c r="D225" s="12"/>
      <c r="E225" s="12"/>
      <c r="F225" s="12"/>
      <c r="G225" s="12"/>
      <c r="H225" s="12"/>
      <c r="I225" s="12"/>
      <c r="J225" s="10"/>
      <c r="K225" s="12"/>
      <c r="L225" s="10"/>
      <c r="M225" s="12"/>
      <c r="N225" s="9" t="str">
        <f aca="false">IF(C225="","",IF(AND(H225="Có",I225="Có"),"1. Làm ngay",IF(H225="Có","2. Lên lịch",IF(I225="Có","3. Giao lại","4. Để sau"))))</f>
        <v/>
      </c>
      <c r="O225" s="9" t="str">
        <f aca="true">IF(OR(C225="",J225="",K225="Hoàn thành"),"",J225-TODAY())</f>
        <v/>
      </c>
      <c r="P225" s="9" t="str">
        <f aca="true">IF(C225="","",IF(K225="Hoàn thành",IF(OR(L225="",J225=""),"Xong (thiếu ngày)",IF(L225&lt;=J225,"Xong đúng hạn","Xong trễ")),IF(J225="","Chưa có hạn",IF(J225&lt;TODAY(),"Quá hạn",IF(J225=TODAY(),"Đến hạn hôm nay",IF(J225-TODAY()&lt;=3,"Sắp đến hạn","Trong hạn"))))))</f>
        <v/>
      </c>
      <c r="Q225" s="9" t="str">
        <f aca="false">IF(OR(C225="",J225=""),"",WEEKNUM(J225,21))</f>
        <v/>
      </c>
      <c r="R225" s="2"/>
      <c r="S225" s="9" t="str">
        <f aca="true">IF(AND(C225&lt;&gt;"",K225&lt;&gt;"Hoàn thành",J225&lt;&gt;"",J225&lt;=TODAY()),MAX(S$5:S224)+1,"")</f>
        <v/>
      </c>
      <c r="T225" s="9" t="str">
        <f aca="false">IF(AND(C225&lt;&gt;"",IF(K225="","Chưa làm",K225)="Chưa làm"),MAX(T$5:T224)+1,"")</f>
        <v/>
      </c>
      <c r="U225" s="9" t="str">
        <f aca="false">IF(AND(C225&lt;&gt;"",IF(K225="","Chưa làm",K225)="Đang làm"),MAX(U$5:U224)+1,"")</f>
        <v/>
      </c>
      <c r="V225" s="9" t="str">
        <f aca="false">IF(AND(C225&lt;&gt;"",IF(K225="","Chưa làm",K225)="Chờ duyệt"),MAX(V$5:V224)+1,"")</f>
        <v/>
      </c>
      <c r="W225" s="9" t="str">
        <f aca="false">IF(AND(C225&lt;&gt;"",IF(K225="","Chưa làm",K225)="Hoàn thành"),MAX(W$5:W224)+1,"")</f>
        <v/>
      </c>
      <c r="X225" s="9" t="str">
        <f aca="false">IF(AND(C225&lt;&gt;"",K225&lt;&gt;"Hoàn thành",N225="1. Làm ngay"),MAX(X$5:X224)+1,"")</f>
        <v/>
      </c>
      <c r="Y225" s="9" t="str">
        <f aca="false">IF(AND(C225&lt;&gt;"",K225&lt;&gt;"Hoàn thành",N225="2. Lên lịch"),MAX(Y$5:Y224)+1,"")</f>
        <v/>
      </c>
      <c r="Z225" s="9" t="str">
        <f aca="false">IF(AND(C225&lt;&gt;"",K225&lt;&gt;"Hoàn thành",N225="3. Giao lại"),MAX(Z$5:Z224)+1,"")</f>
        <v/>
      </c>
      <c r="AA225" s="9" t="str">
        <f aca="false">IF(AND(C225&lt;&gt;"",K225&lt;&gt;"Hoàn thành",N225="4. Để sau"),MAX(AA$5:AA224)+1,"")</f>
        <v/>
      </c>
      <c r="AB225" s="9" t="str">
        <f aca="false">IF(AND(C225&lt;&gt;"",J225&lt;&gt;"",J225&gt;=TUAN!$C$3,J225&lt;=TUAN!$C$3+6),MAX(AB$5:AB224)+1,"")</f>
        <v/>
      </c>
    </row>
    <row r="226" customFormat="false" ht="15" hidden="false" customHeight="false" outlineLevel="0" collapsed="false">
      <c r="A226" s="9" t="str">
        <f aca="false">IF(C226="","","CV"&amp;TEXT(ROW()-5,"000"))</f>
        <v/>
      </c>
      <c r="B226" s="10"/>
      <c r="C226" s="11"/>
      <c r="D226" s="12"/>
      <c r="E226" s="12"/>
      <c r="F226" s="12"/>
      <c r="G226" s="12"/>
      <c r="H226" s="12"/>
      <c r="I226" s="12"/>
      <c r="J226" s="10"/>
      <c r="K226" s="12"/>
      <c r="L226" s="10"/>
      <c r="M226" s="12"/>
      <c r="N226" s="9" t="str">
        <f aca="false">IF(C226="","",IF(AND(H226="Có",I226="Có"),"1. Làm ngay",IF(H226="Có","2. Lên lịch",IF(I226="Có","3. Giao lại","4. Để sau"))))</f>
        <v/>
      </c>
      <c r="O226" s="9" t="str">
        <f aca="true">IF(OR(C226="",J226="",K226="Hoàn thành"),"",J226-TODAY())</f>
        <v/>
      </c>
      <c r="P226" s="9" t="str">
        <f aca="true">IF(C226="","",IF(K226="Hoàn thành",IF(OR(L226="",J226=""),"Xong (thiếu ngày)",IF(L226&lt;=J226,"Xong đúng hạn","Xong trễ")),IF(J226="","Chưa có hạn",IF(J226&lt;TODAY(),"Quá hạn",IF(J226=TODAY(),"Đến hạn hôm nay",IF(J226-TODAY()&lt;=3,"Sắp đến hạn","Trong hạn"))))))</f>
        <v/>
      </c>
      <c r="Q226" s="9" t="str">
        <f aca="false">IF(OR(C226="",J226=""),"",WEEKNUM(J226,21))</f>
        <v/>
      </c>
      <c r="R226" s="2"/>
      <c r="S226" s="9" t="str">
        <f aca="true">IF(AND(C226&lt;&gt;"",K226&lt;&gt;"Hoàn thành",J226&lt;&gt;"",J226&lt;=TODAY()),MAX(S$5:S225)+1,"")</f>
        <v/>
      </c>
      <c r="T226" s="9" t="str">
        <f aca="false">IF(AND(C226&lt;&gt;"",IF(K226="","Chưa làm",K226)="Chưa làm"),MAX(T$5:T225)+1,"")</f>
        <v/>
      </c>
      <c r="U226" s="9" t="str">
        <f aca="false">IF(AND(C226&lt;&gt;"",IF(K226="","Chưa làm",K226)="Đang làm"),MAX(U$5:U225)+1,"")</f>
        <v/>
      </c>
      <c r="V226" s="9" t="str">
        <f aca="false">IF(AND(C226&lt;&gt;"",IF(K226="","Chưa làm",K226)="Chờ duyệt"),MAX(V$5:V225)+1,"")</f>
        <v/>
      </c>
      <c r="W226" s="9" t="str">
        <f aca="false">IF(AND(C226&lt;&gt;"",IF(K226="","Chưa làm",K226)="Hoàn thành"),MAX(W$5:W225)+1,"")</f>
        <v/>
      </c>
      <c r="X226" s="9" t="str">
        <f aca="false">IF(AND(C226&lt;&gt;"",K226&lt;&gt;"Hoàn thành",N226="1. Làm ngay"),MAX(X$5:X225)+1,"")</f>
        <v/>
      </c>
      <c r="Y226" s="9" t="str">
        <f aca="false">IF(AND(C226&lt;&gt;"",K226&lt;&gt;"Hoàn thành",N226="2. Lên lịch"),MAX(Y$5:Y225)+1,"")</f>
        <v/>
      </c>
      <c r="Z226" s="9" t="str">
        <f aca="false">IF(AND(C226&lt;&gt;"",K226&lt;&gt;"Hoàn thành",N226="3. Giao lại"),MAX(Z$5:Z225)+1,"")</f>
        <v/>
      </c>
      <c r="AA226" s="9" t="str">
        <f aca="false">IF(AND(C226&lt;&gt;"",K226&lt;&gt;"Hoàn thành",N226="4. Để sau"),MAX(AA$5:AA225)+1,"")</f>
        <v/>
      </c>
      <c r="AB226" s="9" t="str">
        <f aca="false">IF(AND(C226&lt;&gt;"",J226&lt;&gt;"",J226&gt;=TUAN!$C$3,J226&lt;=TUAN!$C$3+6),MAX(AB$5:AB225)+1,"")</f>
        <v/>
      </c>
    </row>
    <row r="227" customFormat="false" ht="15" hidden="false" customHeight="false" outlineLevel="0" collapsed="false">
      <c r="A227" s="9" t="str">
        <f aca="false">IF(C227="","","CV"&amp;TEXT(ROW()-5,"000"))</f>
        <v/>
      </c>
      <c r="B227" s="10"/>
      <c r="C227" s="11"/>
      <c r="D227" s="12"/>
      <c r="E227" s="12"/>
      <c r="F227" s="12"/>
      <c r="G227" s="12"/>
      <c r="H227" s="12"/>
      <c r="I227" s="12"/>
      <c r="J227" s="10"/>
      <c r="K227" s="12"/>
      <c r="L227" s="10"/>
      <c r="M227" s="12"/>
      <c r="N227" s="9" t="str">
        <f aca="false">IF(C227="","",IF(AND(H227="Có",I227="Có"),"1. Làm ngay",IF(H227="Có","2. Lên lịch",IF(I227="Có","3. Giao lại","4. Để sau"))))</f>
        <v/>
      </c>
      <c r="O227" s="9" t="str">
        <f aca="true">IF(OR(C227="",J227="",K227="Hoàn thành"),"",J227-TODAY())</f>
        <v/>
      </c>
      <c r="P227" s="9" t="str">
        <f aca="true">IF(C227="","",IF(K227="Hoàn thành",IF(OR(L227="",J227=""),"Xong (thiếu ngày)",IF(L227&lt;=J227,"Xong đúng hạn","Xong trễ")),IF(J227="","Chưa có hạn",IF(J227&lt;TODAY(),"Quá hạn",IF(J227=TODAY(),"Đến hạn hôm nay",IF(J227-TODAY()&lt;=3,"Sắp đến hạn","Trong hạn"))))))</f>
        <v/>
      </c>
      <c r="Q227" s="9" t="str">
        <f aca="false">IF(OR(C227="",J227=""),"",WEEKNUM(J227,21))</f>
        <v/>
      </c>
      <c r="R227" s="2"/>
      <c r="S227" s="9" t="str">
        <f aca="true">IF(AND(C227&lt;&gt;"",K227&lt;&gt;"Hoàn thành",J227&lt;&gt;"",J227&lt;=TODAY()),MAX(S$5:S226)+1,"")</f>
        <v/>
      </c>
      <c r="T227" s="9" t="str">
        <f aca="false">IF(AND(C227&lt;&gt;"",IF(K227="","Chưa làm",K227)="Chưa làm"),MAX(T$5:T226)+1,"")</f>
        <v/>
      </c>
      <c r="U227" s="9" t="str">
        <f aca="false">IF(AND(C227&lt;&gt;"",IF(K227="","Chưa làm",K227)="Đang làm"),MAX(U$5:U226)+1,"")</f>
        <v/>
      </c>
      <c r="V227" s="9" t="str">
        <f aca="false">IF(AND(C227&lt;&gt;"",IF(K227="","Chưa làm",K227)="Chờ duyệt"),MAX(V$5:V226)+1,"")</f>
        <v/>
      </c>
      <c r="W227" s="9" t="str">
        <f aca="false">IF(AND(C227&lt;&gt;"",IF(K227="","Chưa làm",K227)="Hoàn thành"),MAX(W$5:W226)+1,"")</f>
        <v/>
      </c>
      <c r="X227" s="9" t="str">
        <f aca="false">IF(AND(C227&lt;&gt;"",K227&lt;&gt;"Hoàn thành",N227="1. Làm ngay"),MAX(X$5:X226)+1,"")</f>
        <v/>
      </c>
      <c r="Y227" s="9" t="str">
        <f aca="false">IF(AND(C227&lt;&gt;"",K227&lt;&gt;"Hoàn thành",N227="2. Lên lịch"),MAX(Y$5:Y226)+1,"")</f>
        <v/>
      </c>
      <c r="Z227" s="9" t="str">
        <f aca="false">IF(AND(C227&lt;&gt;"",K227&lt;&gt;"Hoàn thành",N227="3. Giao lại"),MAX(Z$5:Z226)+1,"")</f>
        <v/>
      </c>
      <c r="AA227" s="9" t="str">
        <f aca="false">IF(AND(C227&lt;&gt;"",K227&lt;&gt;"Hoàn thành",N227="4. Để sau"),MAX(AA$5:AA226)+1,"")</f>
        <v/>
      </c>
      <c r="AB227" s="9" t="str">
        <f aca="false">IF(AND(C227&lt;&gt;"",J227&lt;&gt;"",J227&gt;=TUAN!$C$3,J227&lt;=TUAN!$C$3+6),MAX(AB$5:AB226)+1,"")</f>
        <v/>
      </c>
    </row>
    <row r="228" customFormat="false" ht="15" hidden="false" customHeight="false" outlineLevel="0" collapsed="false">
      <c r="A228" s="9" t="str">
        <f aca="false">IF(C228="","","CV"&amp;TEXT(ROW()-5,"000"))</f>
        <v/>
      </c>
      <c r="B228" s="10"/>
      <c r="C228" s="11"/>
      <c r="D228" s="12"/>
      <c r="E228" s="12"/>
      <c r="F228" s="12"/>
      <c r="G228" s="12"/>
      <c r="H228" s="12"/>
      <c r="I228" s="12"/>
      <c r="J228" s="10"/>
      <c r="K228" s="12"/>
      <c r="L228" s="10"/>
      <c r="M228" s="12"/>
      <c r="N228" s="9" t="str">
        <f aca="false">IF(C228="","",IF(AND(H228="Có",I228="Có"),"1. Làm ngay",IF(H228="Có","2. Lên lịch",IF(I228="Có","3. Giao lại","4. Để sau"))))</f>
        <v/>
      </c>
      <c r="O228" s="9" t="str">
        <f aca="true">IF(OR(C228="",J228="",K228="Hoàn thành"),"",J228-TODAY())</f>
        <v/>
      </c>
      <c r="P228" s="9" t="str">
        <f aca="true">IF(C228="","",IF(K228="Hoàn thành",IF(OR(L228="",J228=""),"Xong (thiếu ngày)",IF(L228&lt;=J228,"Xong đúng hạn","Xong trễ")),IF(J228="","Chưa có hạn",IF(J228&lt;TODAY(),"Quá hạn",IF(J228=TODAY(),"Đến hạn hôm nay",IF(J228-TODAY()&lt;=3,"Sắp đến hạn","Trong hạn"))))))</f>
        <v/>
      </c>
      <c r="Q228" s="9" t="str">
        <f aca="false">IF(OR(C228="",J228=""),"",WEEKNUM(J228,21))</f>
        <v/>
      </c>
      <c r="R228" s="2"/>
      <c r="S228" s="9" t="str">
        <f aca="true">IF(AND(C228&lt;&gt;"",K228&lt;&gt;"Hoàn thành",J228&lt;&gt;"",J228&lt;=TODAY()),MAX(S$5:S227)+1,"")</f>
        <v/>
      </c>
      <c r="T228" s="9" t="str">
        <f aca="false">IF(AND(C228&lt;&gt;"",IF(K228="","Chưa làm",K228)="Chưa làm"),MAX(T$5:T227)+1,"")</f>
        <v/>
      </c>
      <c r="U228" s="9" t="str">
        <f aca="false">IF(AND(C228&lt;&gt;"",IF(K228="","Chưa làm",K228)="Đang làm"),MAX(U$5:U227)+1,"")</f>
        <v/>
      </c>
      <c r="V228" s="9" t="str">
        <f aca="false">IF(AND(C228&lt;&gt;"",IF(K228="","Chưa làm",K228)="Chờ duyệt"),MAX(V$5:V227)+1,"")</f>
        <v/>
      </c>
      <c r="W228" s="9" t="str">
        <f aca="false">IF(AND(C228&lt;&gt;"",IF(K228="","Chưa làm",K228)="Hoàn thành"),MAX(W$5:W227)+1,"")</f>
        <v/>
      </c>
      <c r="X228" s="9" t="str">
        <f aca="false">IF(AND(C228&lt;&gt;"",K228&lt;&gt;"Hoàn thành",N228="1. Làm ngay"),MAX(X$5:X227)+1,"")</f>
        <v/>
      </c>
      <c r="Y228" s="9" t="str">
        <f aca="false">IF(AND(C228&lt;&gt;"",K228&lt;&gt;"Hoàn thành",N228="2. Lên lịch"),MAX(Y$5:Y227)+1,"")</f>
        <v/>
      </c>
      <c r="Z228" s="9" t="str">
        <f aca="false">IF(AND(C228&lt;&gt;"",K228&lt;&gt;"Hoàn thành",N228="3. Giao lại"),MAX(Z$5:Z227)+1,"")</f>
        <v/>
      </c>
      <c r="AA228" s="9" t="str">
        <f aca="false">IF(AND(C228&lt;&gt;"",K228&lt;&gt;"Hoàn thành",N228="4. Để sau"),MAX(AA$5:AA227)+1,"")</f>
        <v/>
      </c>
      <c r="AB228" s="9" t="str">
        <f aca="false">IF(AND(C228&lt;&gt;"",J228&lt;&gt;"",J228&gt;=TUAN!$C$3,J228&lt;=TUAN!$C$3+6),MAX(AB$5:AB227)+1,"")</f>
        <v/>
      </c>
    </row>
    <row r="229" customFormat="false" ht="15" hidden="false" customHeight="false" outlineLevel="0" collapsed="false">
      <c r="A229" s="9" t="str">
        <f aca="false">IF(C229="","","CV"&amp;TEXT(ROW()-5,"000"))</f>
        <v/>
      </c>
      <c r="B229" s="10"/>
      <c r="C229" s="11"/>
      <c r="D229" s="12"/>
      <c r="E229" s="12"/>
      <c r="F229" s="12"/>
      <c r="G229" s="12"/>
      <c r="H229" s="12"/>
      <c r="I229" s="12"/>
      <c r="J229" s="10"/>
      <c r="K229" s="12"/>
      <c r="L229" s="10"/>
      <c r="M229" s="12"/>
      <c r="N229" s="9" t="str">
        <f aca="false">IF(C229="","",IF(AND(H229="Có",I229="Có"),"1. Làm ngay",IF(H229="Có","2. Lên lịch",IF(I229="Có","3. Giao lại","4. Để sau"))))</f>
        <v/>
      </c>
      <c r="O229" s="9" t="str">
        <f aca="true">IF(OR(C229="",J229="",K229="Hoàn thành"),"",J229-TODAY())</f>
        <v/>
      </c>
      <c r="P229" s="9" t="str">
        <f aca="true">IF(C229="","",IF(K229="Hoàn thành",IF(OR(L229="",J229=""),"Xong (thiếu ngày)",IF(L229&lt;=J229,"Xong đúng hạn","Xong trễ")),IF(J229="","Chưa có hạn",IF(J229&lt;TODAY(),"Quá hạn",IF(J229=TODAY(),"Đến hạn hôm nay",IF(J229-TODAY()&lt;=3,"Sắp đến hạn","Trong hạn"))))))</f>
        <v/>
      </c>
      <c r="Q229" s="9" t="str">
        <f aca="false">IF(OR(C229="",J229=""),"",WEEKNUM(J229,21))</f>
        <v/>
      </c>
      <c r="R229" s="2"/>
      <c r="S229" s="9" t="str">
        <f aca="true">IF(AND(C229&lt;&gt;"",K229&lt;&gt;"Hoàn thành",J229&lt;&gt;"",J229&lt;=TODAY()),MAX(S$5:S228)+1,"")</f>
        <v/>
      </c>
      <c r="T229" s="9" t="str">
        <f aca="false">IF(AND(C229&lt;&gt;"",IF(K229="","Chưa làm",K229)="Chưa làm"),MAX(T$5:T228)+1,"")</f>
        <v/>
      </c>
      <c r="U229" s="9" t="str">
        <f aca="false">IF(AND(C229&lt;&gt;"",IF(K229="","Chưa làm",K229)="Đang làm"),MAX(U$5:U228)+1,"")</f>
        <v/>
      </c>
      <c r="V229" s="9" t="str">
        <f aca="false">IF(AND(C229&lt;&gt;"",IF(K229="","Chưa làm",K229)="Chờ duyệt"),MAX(V$5:V228)+1,"")</f>
        <v/>
      </c>
      <c r="W229" s="9" t="str">
        <f aca="false">IF(AND(C229&lt;&gt;"",IF(K229="","Chưa làm",K229)="Hoàn thành"),MAX(W$5:W228)+1,"")</f>
        <v/>
      </c>
      <c r="X229" s="9" t="str">
        <f aca="false">IF(AND(C229&lt;&gt;"",K229&lt;&gt;"Hoàn thành",N229="1. Làm ngay"),MAX(X$5:X228)+1,"")</f>
        <v/>
      </c>
      <c r="Y229" s="9" t="str">
        <f aca="false">IF(AND(C229&lt;&gt;"",K229&lt;&gt;"Hoàn thành",N229="2. Lên lịch"),MAX(Y$5:Y228)+1,"")</f>
        <v/>
      </c>
      <c r="Z229" s="9" t="str">
        <f aca="false">IF(AND(C229&lt;&gt;"",K229&lt;&gt;"Hoàn thành",N229="3. Giao lại"),MAX(Z$5:Z228)+1,"")</f>
        <v/>
      </c>
      <c r="AA229" s="9" t="str">
        <f aca="false">IF(AND(C229&lt;&gt;"",K229&lt;&gt;"Hoàn thành",N229="4. Để sau"),MAX(AA$5:AA228)+1,"")</f>
        <v/>
      </c>
      <c r="AB229" s="9" t="str">
        <f aca="false">IF(AND(C229&lt;&gt;"",J229&lt;&gt;"",J229&gt;=TUAN!$C$3,J229&lt;=TUAN!$C$3+6),MAX(AB$5:AB228)+1,"")</f>
        <v/>
      </c>
    </row>
    <row r="230" customFormat="false" ht="15" hidden="false" customHeight="false" outlineLevel="0" collapsed="false">
      <c r="A230" s="9" t="str">
        <f aca="false">IF(C230="","","CV"&amp;TEXT(ROW()-5,"000"))</f>
        <v/>
      </c>
      <c r="B230" s="10"/>
      <c r="C230" s="11"/>
      <c r="D230" s="12"/>
      <c r="E230" s="12"/>
      <c r="F230" s="12"/>
      <c r="G230" s="12"/>
      <c r="H230" s="12"/>
      <c r="I230" s="12"/>
      <c r="J230" s="10"/>
      <c r="K230" s="12"/>
      <c r="L230" s="10"/>
      <c r="M230" s="12"/>
      <c r="N230" s="9" t="str">
        <f aca="false">IF(C230="","",IF(AND(H230="Có",I230="Có"),"1. Làm ngay",IF(H230="Có","2. Lên lịch",IF(I230="Có","3. Giao lại","4. Để sau"))))</f>
        <v/>
      </c>
      <c r="O230" s="9" t="str">
        <f aca="true">IF(OR(C230="",J230="",K230="Hoàn thành"),"",J230-TODAY())</f>
        <v/>
      </c>
      <c r="P230" s="9" t="str">
        <f aca="true">IF(C230="","",IF(K230="Hoàn thành",IF(OR(L230="",J230=""),"Xong (thiếu ngày)",IF(L230&lt;=J230,"Xong đúng hạn","Xong trễ")),IF(J230="","Chưa có hạn",IF(J230&lt;TODAY(),"Quá hạn",IF(J230=TODAY(),"Đến hạn hôm nay",IF(J230-TODAY()&lt;=3,"Sắp đến hạn","Trong hạn"))))))</f>
        <v/>
      </c>
      <c r="Q230" s="9" t="str">
        <f aca="false">IF(OR(C230="",J230=""),"",WEEKNUM(J230,21))</f>
        <v/>
      </c>
      <c r="R230" s="2"/>
      <c r="S230" s="9" t="str">
        <f aca="true">IF(AND(C230&lt;&gt;"",K230&lt;&gt;"Hoàn thành",J230&lt;&gt;"",J230&lt;=TODAY()),MAX(S$5:S229)+1,"")</f>
        <v/>
      </c>
      <c r="T230" s="9" t="str">
        <f aca="false">IF(AND(C230&lt;&gt;"",IF(K230="","Chưa làm",K230)="Chưa làm"),MAX(T$5:T229)+1,"")</f>
        <v/>
      </c>
      <c r="U230" s="9" t="str">
        <f aca="false">IF(AND(C230&lt;&gt;"",IF(K230="","Chưa làm",K230)="Đang làm"),MAX(U$5:U229)+1,"")</f>
        <v/>
      </c>
      <c r="V230" s="9" t="str">
        <f aca="false">IF(AND(C230&lt;&gt;"",IF(K230="","Chưa làm",K230)="Chờ duyệt"),MAX(V$5:V229)+1,"")</f>
        <v/>
      </c>
      <c r="W230" s="9" t="str">
        <f aca="false">IF(AND(C230&lt;&gt;"",IF(K230="","Chưa làm",K230)="Hoàn thành"),MAX(W$5:W229)+1,"")</f>
        <v/>
      </c>
      <c r="X230" s="9" t="str">
        <f aca="false">IF(AND(C230&lt;&gt;"",K230&lt;&gt;"Hoàn thành",N230="1. Làm ngay"),MAX(X$5:X229)+1,"")</f>
        <v/>
      </c>
      <c r="Y230" s="9" t="str">
        <f aca="false">IF(AND(C230&lt;&gt;"",K230&lt;&gt;"Hoàn thành",N230="2. Lên lịch"),MAX(Y$5:Y229)+1,"")</f>
        <v/>
      </c>
      <c r="Z230" s="9" t="str">
        <f aca="false">IF(AND(C230&lt;&gt;"",K230&lt;&gt;"Hoàn thành",N230="3. Giao lại"),MAX(Z$5:Z229)+1,"")</f>
        <v/>
      </c>
      <c r="AA230" s="9" t="str">
        <f aca="false">IF(AND(C230&lt;&gt;"",K230&lt;&gt;"Hoàn thành",N230="4. Để sau"),MAX(AA$5:AA229)+1,"")</f>
        <v/>
      </c>
      <c r="AB230" s="9" t="str">
        <f aca="false">IF(AND(C230&lt;&gt;"",J230&lt;&gt;"",J230&gt;=TUAN!$C$3,J230&lt;=TUAN!$C$3+6),MAX(AB$5:AB229)+1,"")</f>
        <v/>
      </c>
    </row>
    <row r="231" customFormat="false" ht="15" hidden="false" customHeight="false" outlineLevel="0" collapsed="false">
      <c r="A231" s="9" t="str">
        <f aca="false">IF(C231="","","CV"&amp;TEXT(ROW()-5,"000"))</f>
        <v/>
      </c>
      <c r="B231" s="10"/>
      <c r="C231" s="11"/>
      <c r="D231" s="12"/>
      <c r="E231" s="12"/>
      <c r="F231" s="12"/>
      <c r="G231" s="12"/>
      <c r="H231" s="12"/>
      <c r="I231" s="12"/>
      <c r="J231" s="10"/>
      <c r="K231" s="12"/>
      <c r="L231" s="10"/>
      <c r="M231" s="12"/>
      <c r="N231" s="9" t="str">
        <f aca="false">IF(C231="","",IF(AND(H231="Có",I231="Có"),"1. Làm ngay",IF(H231="Có","2. Lên lịch",IF(I231="Có","3. Giao lại","4. Để sau"))))</f>
        <v/>
      </c>
      <c r="O231" s="9" t="str">
        <f aca="true">IF(OR(C231="",J231="",K231="Hoàn thành"),"",J231-TODAY())</f>
        <v/>
      </c>
      <c r="P231" s="9" t="str">
        <f aca="true">IF(C231="","",IF(K231="Hoàn thành",IF(OR(L231="",J231=""),"Xong (thiếu ngày)",IF(L231&lt;=J231,"Xong đúng hạn","Xong trễ")),IF(J231="","Chưa có hạn",IF(J231&lt;TODAY(),"Quá hạn",IF(J231=TODAY(),"Đến hạn hôm nay",IF(J231-TODAY()&lt;=3,"Sắp đến hạn","Trong hạn"))))))</f>
        <v/>
      </c>
      <c r="Q231" s="9" t="str">
        <f aca="false">IF(OR(C231="",J231=""),"",WEEKNUM(J231,21))</f>
        <v/>
      </c>
      <c r="R231" s="2"/>
      <c r="S231" s="9" t="str">
        <f aca="true">IF(AND(C231&lt;&gt;"",K231&lt;&gt;"Hoàn thành",J231&lt;&gt;"",J231&lt;=TODAY()),MAX(S$5:S230)+1,"")</f>
        <v/>
      </c>
      <c r="T231" s="9" t="str">
        <f aca="false">IF(AND(C231&lt;&gt;"",IF(K231="","Chưa làm",K231)="Chưa làm"),MAX(T$5:T230)+1,"")</f>
        <v/>
      </c>
      <c r="U231" s="9" t="str">
        <f aca="false">IF(AND(C231&lt;&gt;"",IF(K231="","Chưa làm",K231)="Đang làm"),MAX(U$5:U230)+1,"")</f>
        <v/>
      </c>
      <c r="V231" s="9" t="str">
        <f aca="false">IF(AND(C231&lt;&gt;"",IF(K231="","Chưa làm",K231)="Chờ duyệt"),MAX(V$5:V230)+1,"")</f>
        <v/>
      </c>
      <c r="W231" s="9" t="str">
        <f aca="false">IF(AND(C231&lt;&gt;"",IF(K231="","Chưa làm",K231)="Hoàn thành"),MAX(W$5:W230)+1,"")</f>
        <v/>
      </c>
      <c r="X231" s="9" t="str">
        <f aca="false">IF(AND(C231&lt;&gt;"",K231&lt;&gt;"Hoàn thành",N231="1. Làm ngay"),MAX(X$5:X230)+1,"")</f>
        <v/>
      </c>
      <c r="Y231" s="9" t="str">
        <f aca="false">IF(AND(C231&lt;&gt;"",K231&lt;&gt;"Hoàn thành",N231="2. Lên lịch"),MAX(Y$5:Y230)+1,"")</f>
        <v/>
      </c>
      <c r="Z231" s="9" t="str">
        <f aca="false">IF(AND(C231&lt;&gt;"",K231&lt;&gt;"Hoàn thành",N231="3. Giao lại"),MAX(Z$5:Z230)+1,"")</f>
        <v/>
      </c>
      <c r="AA231" s="9" t="str">
        <f aca="false">IF(AND(C231&lt;&gt;"",K231&lt;&gt;"Hoàn thành",N231="4. Để sau"),MAX(AA$5:AA230)+1,"")</f>
        <v/>
      </c>
      <c r="AB231" s="9" t="str">
        <f aca="false">IF(AND(C231&lt;&gt;"",J231&lt;&gt;"",J231&gt;=TUAN!$C$3,J231&lt;=TUAN!$C$3+6),MAX(AB$5:AB230)+1,"")</f>
        <v/>
      </c>
    </row>
    <row r="232" customFormat="false" ht="15" hidden="false" customHeight="false" outlineLevel="0" collapsed="false">
      <c r="A232" s="9" t="str">
        <f aca="false">IF(C232="","","CV"&amp;TEXT(ROW()-5,"000"))</f>
        <v/>
      </c>
      <c r="B232" s="10"/>
      <c r="C232" s="11"/>
      <c r="D232" s="12"/>
      <c r="E232" s="12"/>
      <c r="F232" s="12"/>
      <c r="G232" s="12"/>
      <c r="H232" s="12"/>
      <c r="I232" s="12"/>
      <c r="J232" s="10"/>
      <c r="K232" s="12"/>
      <c r="L232" s="10"/>
      <c r="M232" s="12"/>
      <c r="N232" s="9" t="str">
        <f aca="false">IF(C232="","",IF(AND(H232="Có",I232="Có"),"1. Làm ngay",IF(H232="Có","2. Lên lịch",IF(I232="Có","3. Giao lại","4. Để sau"))))</f>
        <v/>
      </c>
      <c r="O232" s="9" t="str">
        <f aca="true">IF(OR(C232="",J232="",K232="Hoàn thành"),"",J232-TODAY())</f>
        <v/>
      </c>
      <c r="P232" s="9" t="str">
        <f aca="true">IF(C232="","",IF(K232="Hoàn thành",IF(OR(L232="",J232=""),"Xong (thiếu ngày)",IF(L232&lt;=J232,"Xong đúng hạn","Xong trễ")),IF(J232="","Chưa có hạn",IF(J232&lt;TODAY(),"Quá hạn",IF(J232=TODAY(),"Đến hạn hôm nay",IF(J232-TODAY()&lt;=3,"Sắp đến hạn","Trong hạn"))))))</f>
        <v/>
      </c>
      <c r="Q232" s="9" t="str">
        <f aca="false">IF(OR(C232="",J232=""),"",WEEKNUM(J232,21))</f>
        <v/>
      </c>
      <c r="R232" s="2"/>
      <c r="S232" s="9" t="str">
        <f aca="true">IF(AND(C232&lt;&gt;"",K232&lt;&gt;"Hoàn thành",J232&lt;&gt;"",J232&lt;=TODAY()),MAX(S$5:S231)+1,"")</f>
        <v/>
      </c>
      <c r="T232" s="9" t="str">
        <f aca="false">IF(AND(C232&lt;&gt;"",IF(K232="","Chưa làm",K232)="Chưa làm"),MAX(T$5:T231)+1,"")</f>
        <v/>
      </c>
      <c r="U232" s="9" t="str">
        <f aca="false">IF(AND(C232&lt;&gt;"",IF(K232="","Chưa làm",K232)="Đang làm"),MAX(U$5:U231)+1,"")</f>
        <v/>
      </c>
      <c r="V232" s="9" t="str">
        <f aca="false">IF(AND(C232&lt;&gt;"",IF(K232="","Chưa làm",K232)="Chờ duyệt"),MAX(V$5:V231)+1,"")</f>
        <v/>
      </c>
      <c r="W232" s="9" t="str">
        <f aca="false">IF(AND(C232&lt;&gt;"",IF(K232="","Chưa làm",K232)="Hoàn thành"),MAX(W$5:W231)+1,"")</f>
        <v/>
      </c>
      <c r="X232" s="9" t="str">
        <f aca="false">IF(AND(C232&lt;&gt;"",K232&lt;&gt;"Hoàn thành",N232="1. Làm ngay"),MAX(X$5:X231)+1,"")</f>
        <v/>
      </c>
      <c r="Y232" s="9" t="str">
        <f aca="false">IF(AND(C232&lt;&gt;"",K232&lt;&gt;"Hoàn thành",N232="2. Lên lịch"),MAX(Y$5:Y231)+1,"")</f>
        <v/>
      </c>
      <c r="Z232" s="9" t="str">
        <f aca="false">IF(AND(C232&lt;&gt;"",K232&lt;&gt;"Hoàn thành",N232="3. Giao lại"),MAX(Z$5:Z231)+1,"")</f>
        <v/>
      </c>
      <c r="AA232" s="9" t="str">
        <f aca="false">IF(AND(C232&lt;&gt;"",K232&lt;&gt;"Hoàn thành",N232="4. Để sau"),MAX(AA$5:AA231)+1,"")</f>
        <v/>
      </c>
      <c r="AB232" s="9" t="str">
        <f aca="false">IF(AND(C232&lt;&gt;"",J232&lt;&gt;"",J232&gt;=TUAN!$C$3,J232&lt;=TUAN!$C$3+6),MAX(AB$5:AB231)+1,"")</f>
        <v/>
      </c>
    </row>
    <row r="233" customFormat="false" ht="15" hidden="false" customHeight="false" outlineLevel="0" collapsed="false">
      <c r="A233" s="9" t="str">
        <f aca="false">IF(C233="","","CV"&amp;TEXT(ROW()-5,"000"))</f>
        <v/>
      </c>
      <c r="B233" s="10"/>
      <c r="C233" s="11"/>
      <c r="D233" s="12"/>
      <c r="E233" s="12"/>
      <c r="F233" s="12"/>
      <c r="G233" s="12"/>
      <c r="H233" s="12"/>
      <c r="I233" s="12"/>
      <c r="J233" s="10"/>
      <c r="K233" s="12"/>
      <c r="L233" s="10"/>
      <c r="M233" s="12"/>
      <c r="N233" s="9" t="str">
        <f aca="false">IF(C233="","",IF(AND(H233="Có",I233="Có"),"1. Làm ngay",IF(H233="Có","2. Lên lịch",IF(I233="Có","3. Giao lại","4. Để sau"))))</f>
        <v/>
      </c>
      <c r="O233" s="9" t="str">
        <f aca="true">IF(OR(C233="",J233="",K233="Hoàn thành"),"",J233-TODAY())</f>
        <v/>
      </c>
      <c r="P233" s="9" t="str">
        <f aca="true">IF(C233="","",IF(K233="Hoàn thành",IF(OR(L233="",J233=""),"Xong (thiếu ngày)",IF(L233&lt;=J233,"Xong đúng hạn","Xong trễ")),IF(J233="","Chưa có hạn",IF(J233&lt;TODAY(),"Quá hạn",IF(J233=TODAY(),"Đến hạn hôm nay",IF(J233-TODAY()&lt;=3,"Sắp đến hạn","Trong hạn"))))))</f>
        <v/>
      </c>
      <c r="Q233" s="9" t="str">
        <f aca="false">IF(OR(C233="",J233=""),"",WEEKNUM(J233,21))</f>
        <v/>
      </c>
      <c r="R233" s="2"/>
      <c r="S233" s="9" t="str">
        <f aca="true">IF(AND(C233&lt;&gt;"",K233&lt;&gt;"Hoàn thành",J233&lt;&gt;"",J233&lt;=TODAY()),MAX(S$5:S232)+1,"")</f>
        <v/>
      </c>
      <c r="T233" s="9" t="str">
        <f aca="false">IF(AND(C233&lt;&gt;"",IF(K233="","Chưa làm",K233)="Chưa làm"),MAX(T$5:T232)+1,"")</f>
        <v/>
      </c>
      <c r="U233" s="9" t="str">
        <f aca="false">IF(AND(C233&lt;&gt;"",IF(K233="","Chưa làm",K233)="Đang làm"),MAX(U$5:U232)+1,"")</f>
        <v/>
      </c>
      <c r="V233" s="9" t="str">
        <f aca="false">IF(AND(C233&lt;&gt;"",IF(K233="","Chưa làm",K233)="Chờ duyệt"),MAX(V$5:V232)+1,"")</f>
        <v/>
      </c>
      <c r="W233" s="9" t="str">
        <f aca="false">IF(AND(C233&lt;&gt;"",IF(K233="","Chưa làm",K233)="Hoàn thành"),MAX(W$5:W232)+1,"")</f>
        <v/>
      </c>
      <c r="X233" s="9" t="str">
        <f aca="false">IF(AND(C233&lt;&gt;"",K233&lt;&gt;"Hoàn thành",N233="1. Làm ngay"),MAX(X$5:X232)+1,"")</f>
        <v/>
      </c>
      <c r="Y233" s="9" t="str">
        <f aca="false">IF(AND(C233&lt;&gt;"",K233&lt;&gt;"Hoàn thành",N233="2. Lên lịch"),MAX(Y$5:Y232)+1,"")</f>
        <v/>
      </c>
      <c r="Z233" s="9" t="str">
        <f aca="false">IF(AND(C233&lt;&gt;"",K233&lt;&gt;"Hoàn thành",N233="3. Giao lại"),MAX(Z$5:Z232)+1,"")</f>
        <v/>
      </c>
      <c r="AA233" s="9" t="str">
        <f aca="false">IF(AND(C233&lt;&gt;"",K233&lt;&gt;"Hoàn thành",N233="4. Để sau"),MAX(AA$5:AA232)+1,"")</f>
        <v/>
      </c>
      <c r="AB233" s="9" t="str">
        <f aca="false">IF(AND(C233&lt;&gt;"",J233&lt;&gt;"",J233&gt;=TUAN!$C$3,J233&lt;=TUAN!$C$3+6),MAX(AB$5:AB232)+1,"")</f>
        <v/>
      </c>
    </row>
    <row r="234" customFormat="false" ht="15" hidden="false" customHeight="false" outlineLevel="0" collapsed="false">
      <c r="A234" s="9" t="str">
        <f aca="false">IF(C234="","","CV"&amp;TEXT(ROW()-5,"000"))</f>
        <v/>
      </c>
      <c r="B234" s="10"/>
      <c r="C234" s="11"/>
      <c r="D234" s="12"/>
      <c r="E234" s="12"/>
      <c r="F234" s="12"/>
      <c r="G234" s="12"/>
      <c r="H234" s="12"/>
      <c r="I234" s="12"/>
      <c r="J234" s="10"/>
      <c r="K234" s="12"/>
      <c r="L234" s="10"/>
      <c r="M234" s="12"/>
      <c r="N234" s="9" t="str">
        <f aca="false">IF(C234="","",IF(AND(H234="Có",I234="Có"),"1. Làm ngay",IF(H234="Có","2. Lên lịch",IF(I234="Có","3. Giao lại","4. Để sau"))))</f>
        <v/>
      </c>
      <c r="O234" s="9" t="str">
        <f aca="true">IF(OR(C234="",J234="",K234="Hoàn thành"),"",J234-TODAY())</f>
        <v/>
      </c>
      <c r="P234" s="9" t="str">
        <f aca="true">IF(C234="","",IF(K234="Hoàn thành",IF(OR(L234="",J234=""),"Xong (thiếu ngày)",IF(L234&lt;=J234,"Xong đúng hạn","Xong trễ")),IF(J234="","Chưa có hạn",IF(J234&lt;TODAY(),"Quá hạn",IF(J234=TODAY(),"Đến hạn hôm nay",IF(J234-TODAY()&lt;=3,"Sắp đến hạn","Trong hạn"))))))</f>
        <v/>
      </c>
      <c r="Q234" s="9" t="str">
        <f aca="false">IF(OR(C234="",J234=""),"",WEEKNUM(J234,21))</f>
        <v/>
      </c>
      <c r="R234" s="2"/>
      <c r="S234" s="9" t="str">
        <f aca="true">IF(AND(C234&lt;&gt;"",K234&lt;&gt;"Hoàn thành",J234&lt;&gt;"",J234&lt;=TODAY()),MAX(S$5:S233)+1,"")</f>
        <v/>
      </c>
      <c r="T234" s="9" t="str">
        <f aca="false">IF(AND(C234&lt;&gt;"",IF(K234="","Chưa làm",K234)="Chưa làm"),MAX(T$5:T233)+1,"")</f>
        <v/>
      </c>
      <c r="U234" s="9" t="str">
        <f aca="false">IF(AND(C234&lt;&gt;"",IF(K234="","Chưa làm",K234)="Đang làm"),MAX(U$5:U233)+1,"")</f>
        <v/>
      </c>
      <c r="V234" s="9" t="str">
        <f aca="false">IF(AND(C234&lt;&gt;"",IF(K234="","Chưa làm",K234)="Chờ duyệt"),MAX(V$5:V233)+1,"")</f>
        <v/>
      </c>
      <c r="W234" s="9" t="str">
        <f aca="false">IF(AND(C234&lt;&gt;"",IF(K234="","Chưa làm",K234)="Hoàn thành"),MAX(W$5:W233)+1,"")</f>
        <v/>
      </c>
      <c r="X234" s="9" t="str">
        <f aca="false">IF(AND(C234&lt;&gt;"",K234&lt;&gt;"Hoàn thành",N234="1. Làm ngay"),MAX(X$5:X233)+1,"")</f>
        <v/>
      </c>
      <c r="Y234" s="9" t="str">
        <f aca="false">IF(AND(C234&lt;&gt;"",K234&lt;&gt;"Hoàn thành",N234="2. Lên lịch"),MAX(Y$5:Y233)+1,"")</f>
        <v/>
      </c>
      <c r="Z234" s="9" t="str">
        <f aca="false">IF(AND(C234&lt;&gt;"",K234&lt;&gt;"Hoàn thành",N234="3. Giao lại"),MAX(Z$5:Z233)+1,"")</f>
        <v/>
      </c>
      <c r="AA234" s="9" t="str">
        <f aca="false">IF(AND(C234&lt;&gt;"",K234&lt;&gt;"Hoàn thành",N234="4. Để sau"),MAX(AA$5:AA233)+1,"")</f>
        <v/>
      </c>
      <c r="AB234" s="9" t="str">
        <f aca="false">IF(AND(C234&lt;&gt;"",J234&lt;&gt;"",J234&gt;=TUAN!$C$3,J234&lt;=TUAN!$C$3+6),MAX(AB$5:AB233)+1,"")</f>
        <v/>
      </c>
    </row>
    <row r="235" customFormat="false" ht="15" hidden="false" customHeight="false" outlineLevel="0" collapsed="false">
      <c r="A235" s="9" t="str">
        <f aca="false">IF(C235="","","CV"&amp;TEXT(ROW()-5,"000"))</f>
        <v/>
      </c>
      <c r="B235" s="10"/>
      <c r="C235" s="11"/>
      <c r="D235" s="12"/>
      <c r="E235" s="12"/>
      <c r="F235" s="12"/>
      <c r="G235" s="12"/>
      <c r="H235" s="12"/>
      <c r="I235" s="12"/>
      <c r="J235" s="10"/>
      <c r="K235" s="12"/>
      <c r="L235" s="10"/>
      <c r="M235" s="12"/>
      <c r="N235" s="9" t="str">
        <f aca="false">IF(C235="","",IF(AND(H235="Có",I235="Có"),"1. Làm ngay",IF(H235="Có","2. Lên lịch",IF(I235="Có","3. Giao lại","4. Để sau"))))</f>
        <v/>
      </c>
      <c r="O235" s="9" t="str">
        <f aca="true">IF(OR(C235="",J235="",K235="Hoàn thành"),"",J235-TODAY())</f>
        <v/>
      </c>
      <c r="P235" s="9" t="str">
        <f aca="true">IF(C235="","",IF(K235="Hoàn thành",IF(OR(L235="",J235=""),"Xong (thiếu ngày)",IF(L235&lt;=J235,"Xong đúng hạn","Xong trễ")),IF(J235="","Chưa có hạn",IF(J235&lt;TODAY(),"Quá hạn",IF(J235=TODAY(),"Đến hạn hôm nay",IF(J235-TODAY()&lt;=3,"Sắp đến hạn","Trong hạn"))))))</f>
        <v/>
      </c>
      <c r="Q235" s="9" t="str">
        <f aca="false">IF(OR(C235="",J235=""),"",WEEKNUM(J235,21))</f>
        <v/>
      </c>
      <c r="R235" s="2"/>
      <c r="S235" s="9" t="str">
        <f aca="true">IF(AND(C235&lt;&gt;"",K235&lt;&gt;"Hoàn thành",J235&lt;&gt;"",J235&lt;=TODAY()),MAX(S$5:S234)+1,"")</f>
        <v/>
      </c>
      <c r="T235" s="9" t="str">
        <f aca="false">IF(AND(C235&lt;&gt;"",IF(K235="","Chưa làm",K235)="Chưa làm"),MAX(T$5:T234)+1,"")</f>
        <v/>
      </c>
      <c r="U235" s="9" t="str">
        <f aca="false">IF(AND(C235&lt;&gt;"",IF(K235="","Chưa làm",K235)="Đang làm"),MAX(U$5:U234)+1,"")</f>
        <v/>
      </c>
      <c r="V235" s="9" t="str">
        <f aca="false">IF(AND(C235&lt;&gt;"",IF(K235="","Chưa làm",K235)="Chờ duyệt"),MAX(V$5:V234)+1,"")</f>
        <v/>
      </c>
      <c r="W235" s="9" t="str">
        <f aca="false">IF(AND(C235&lt;&gt;"",IF(K235="","Chưa làm",K235)="Hoàn thành"),MAX(W$5:W234)+1,"")</f>
        <v/>
      </c>
      <c r="X235" s="9" t="str">
        <f aca="false">IF(AND(C235&lt;&gt;"",K235&lt;&gt;"Hoàn thành",N235="1. Làm ngay"),MAX(X$5:X234)+1,"")</f>
        <v/>
      </c>
      <c r="Y235" s="9" t="str">
        <f aca="false">IF(AND(C235&lt;&gt;"",K235&lt;&gt;"Hoàn thành",N235="2. Lên lịch"),MAX(Y$5:Y234)+1,"")</f>
        <v/>
      </c>
      <c r="Z235" s="9" t="str">
        <f aca="false">IF(AND(C235&lt;&gt;"",K235&lt;&gt;"Hoàn thành",N235="3. Giao lại"),MAX(Z$5:Z234)+1,"")</f>
        <v/>
      </c>
      <c r="AA235" s="9" t="str">
        <f aca="false">IF(AND(C235&lt;&gt;"",K235&lt;&gt;"Hoàn thành",N235="4. Để sau"),MAX(AA$5:AA234)+1,"")</f>
        <v/>
      </c>
      <c r="AB235" s="9" t="str">
        <f aca="false">IF(AND(C235&lt;&gt;"",J235&lt;&gt;"",J235&gt;=TUAN!$C$3,J235&lt;=TUAN!$C$3+6),MAX(AB$5:AB234)+1,"")</f>
        <v/>
      </c>
    </row>
    <row r="236" customFormat="false" ht="15" hidden="false" customHeight="false" outlineLevel="0" collapsed="false">
      <c r="A236" s="9" t="str">
        <f aca="false">IF(C236="","","CV"&amp;TEXT(ROW()-5,"000"))</f>
        <v/>
      </c>
      <c r="B236" s="10"/>
      <c r="C236" s="11"/>
      <c r="D236" s="12"/>
      <c r="E236" s="12"/>
      <c r="F236" s="12"/>
      <c r="G236" s="12"/>
      <c r="H236" s="12"/>
      <c r="I236" s="12"/>
      <c r="J236" s="10"/>
      <c r="K236" s="12"/>
      <c r="L236" s="10"/>
      <c r="M236" s="12"/>
      <c r="N236" s="9" t="str">
        <f aca="false">IF(C236="","",IF(AND(H236="Có",I236="Có"),"1. Làm ngay",IF(H236="Có","2. Lên lịch",IF(I236="Có","3. Giao lại","4. Để sau"))))</f>
        <v/>
      </c>
      <c r="O236" s="9" t="str">
        <f aca="true">IF(OR(C236="",J236="",K236="Hoàn thành"),"",J236-TODAY())</f>
        <v/>
      </c>
      <c r="P236" s="9" t="str">
        <f aca="true">IF(C236="","",IF(K236="Hoàn thành",IF(OR(L236="",J236=""),"Xong (thiếu ngày)",IF(L236&lt;=J236,"Xong đúng hạn","Xong trễ")),IF(J236="","Chưa có hạn",IF(J236&lt;TODAY(),"Quá hạn",IF(J236=TODAY(),"Đến hạn hôm nay",IF(J236-TODAY()&lt;=3,"Sắp đến hạn","Trong hạn"))))))</f>
        <v/>
      </c>
      <c r="Q236" s="9" t="str">
        <f aca="false">IF(OR(C236="",J236=""),"",WEEKNUM(J236,21))</f>
        <v/>
      </c>
      <c r="R236" s="2"/>
      <c r="S236" s="9" t="str">
        <f aca="true">IF(AND(C236&lt;&gt;"",K236&lt;&gt;"Hoàn thành",J236&lt;&gt;"",J236&lt;=TODAY()),MAX(S$5:S235)+1,"")</f>
        <v/>
      </c>
      <c r="T236" s="9" t="str">
        <f aca="false">IF(AND(C236&lt;&gt;"",IF(K236="","Chưa làm",K236)="Chưa làm"),MAX(T$5:T235)+1,"")</f>
        <v/>
      </c>
      <c r="U236" s="9" t="str">
        <f aca="false">IF(AND(C236&lt;&gt;"",IF(K236="","Chưa làm",K236)="Đang làm"),MAX(U$5:U235)+1,"")</f>
        <v/>
      </c>
      <c r="V236" s="9" t="str">
        <f aca="false">IF(AND(C236&lt;&gt;"",IF(K236="","Chưa làm",K236)="Chờ duyệt"),MAX(V$5:V235)+1,"")</f>
        <v/>
      </c>
      <c r="W236" s="9" t="str">
        <f aca="false">IF(AND(C236&lt;&gt;"",IF(K236="","Chưa làm",K236)="Hoàn thành"),MAX(W$5:W235)+1,"")</f>
        <v/>
      </c>
      <c r="X236" s="9" t="str">
        <f aca="false">IF(AND(C236&lt;&gt;"",K236&lt;&gt;"Hoàn thành",N236="1. Làm ngay"),MAX(X$5:X235)+1,"")</f>
        <v/>
      </c>
      <c r="Y236" s="9" t="str">
        <f aca="false">IF(AND(C236&lt;&gt;"",K236&lt;&gt;"Hoàn thành",N236="2. Lên lịch"),MAX(Y$5:Y235)+1,"")</f>
        <v/>
      </c>
      <c r="Z236" s="9" t="str">
        <f aca="false">IF(AND(C236&lt;&gt;"",K236&lt;&gt;"Hoàn thành",N236="3. Giao lại"),MAX(Z$5:Z235)+1,"")</f>
        <v/>
      </c>
      <c r="AA236" s="9" t="str">
        <f aca="false">IF(AND(C236&lt;&gt;"",K236&lt;&gt;"Hoàn thành",N236="4. Để sau"),MAX(AA$5:AA235)+1,"")</f>
        <v/>
      </c>
      <c r="AB236" s="9" t="str">
        <f aca="false">IF(AND(C236&lt;&gt;"",J236&lt;&gt;"",J236&gt;=TUAN!$C$3,J236&lt;=TUAN!$C$3+6),MAX(AB$5:AB235)+1,"")</f>
        <v/>
      </c>
    </row>
    <row r="237" customFormat="false" ht="15" hidden="false" customHeight="false" outlineLevel="0" collapsed="false">
      <c r="A237" s="9" t="str">
        <f aca="false">IF(C237="","","CV"&amp;TEXT(ROW()-5,"000"))</f>
        <v/>
      </c>
      <c r="B237" s="10"/>
      <c r="C237" s="11"/>
      <c r="D237" s="12"/>
      <c r="E237" s="12"/>
      <c r="F237" s="12"/>
      <c r="G237" s="12"/>
      <c r="H237" s="12"/>
      <c r="I237" s="12"/>
      <c r="J237" s="10"/>
      <c r="K237" s="12"/>
      <c r="L237" s="10"/>
      <c r="M237" s="12"/>
      <c r="N237" s="9" t="str">
        <f aca="false">IF(C237="","",IF(AND(H237="Có",I237="Có"),"1. Làm ngay",IF(H237="Có","2. Lên lịch",IF(I237="Có","3. Giao lại","4. Để sau"))))</f>
        <v/>
      </c>
      <c r="O237" s="9" t="str">
        <f aca="true">IF(OR(C237="",J237="",K237="Hoàn thành"),"",J237-TODAY())</f>
        <v/>
      </c>
      <c r="P237" s="9" t="str">
        <f aca="true">IF(C237="","",IF(K237="Hoàn thành",IF(OR(L237="",J237=""),"Xong (thiếu ngày)",IF(L237&lt;=J237,"Xong đúng hạn","Xong trễ")),IF(J237="","Chưa có hạn",IF(J237&lt;TODAY(),"Quá hạn",IF(J237=TODAY(),"Đến hạn hôm nay",IF(J237-TODAY()&lt;=3,"Sắp đến hạn","Trong hạn"))))))</f>
        <v/>
      </c>
      <c r="Q237" s="9" t="str">
        <f aca="false">IF(OR(C237="",J237=""),"",WEEKNUM(J237,21))</f>
        <v/>
      </c>
      <c r="R237" s="2"/>
      <c r="S237" s="9" t="str">
        <f aca="true">IF(AND(C237&lt;&gt;"",K237&lt;&gt;"Hoàn thành",J237&lt;&gt;"",J237&lt;=TODAY()),MAX(S$5:S236)+1,"")</f>
        <v/>
      </c>
      <c r="T237" s="9" t="str">
        <f aca="false">IF(AND(C237&lt;&gt;"",IF(K237="","Chưa làm",K237)="Chưa làm"),MAX(T$5:T236)+1,"")</f>
        <v/>
      </c>
      <c r="U237" s="9" t="str">
        <f aca="false">IF(AND(C237&lt;&gt;"",IF(K237="","Chưa làm",K237)="Đang làm"),MAX(U$5:U236)+1,"")</f>
        <v/>
      </c>
      <c r="V237" s="9" t="str">
        <f aca="false">IF(AND(C237&lt;&gt;"",IF(K237="","Chưa làm",K237)="Chờ duyệt"),MAX(V$5:V236)+1,"")</f>
        <v/>
      </c>
      <c r="W237" s="9" t="str">
        <f aca="false">IF(AND(C237&lt;&gt;"",IF(K237="","Chưa làm",K237)="Hoàn thành"),MAX(W$5:W236)+1,"")</f>
        <v/>
      </c>
      <c r="X237" s="9" t="str">
        <f aca="false">IF(AND(C237&lt;&gt;"",K237&lt;&gt;"Hoàn thành",N237="1. Làm ngay"),MAX(X$5:X236)+1,"")</f>
        <v/>
      </c>
      <c r="Y237" s="9" t="str">
        <f aca="false">IF(AND(C237&lt;&gt;"",K237&lt;&gt;"Hoàn thành",N237="2. Lên lịch"),MAX(Y$5:Y236)+1,"")</f>
        <v/>
      </c>
      <c r="Z237" s="9" t="str">
        <f aca="false">IF(AND(C237&lt;&gt;"",K237&lt;&gt;"Hoàn thành",N237="3. Giao lại"),MAX(Z$5:Z236)+1,"")</f>
        <v/>
      </c>
      <c r="AA237" s="9" t="str">
        <f aca="false">IF(AND(C237&lt;&gt;"",K237&lt;&gt;"Hoàn thành",N237="4. Để sau"),MAX(AA$5:AA236)+1,"")</f>
        <v/>
      </c>
      <c r="AB237" s="9" t="str">
        <f aca="false">IF(AND(C237&lt;&gt;"",J237&lt;&gt;"",J237&gt;=TUAN!$C$3,J237&lt;=TUAN!$C$3+6),MAX(AB$5:AB236)+1,"")</f>
        <v/>
      </c>
    </row>
    <row r="238" customFormat="false" ht="15" hidden="false" customHeight="false" outlineLevel="0" collapsed="false">
      <c r="A238" s="9" t="str">
        <f aca="false">IF(C238="","","CV"&amp;TEXT(ROW()-5,"000"))</f>
        <v/>
      </c>
      <c r="B238" s="10"/>
      <c r="C238" s="11"/>
      <c r="D238" s="12"/>
      <c r="E238" s="12"/>
      <c r="F238" s="12"/>
      <c r="G238" s="12"/>
      <c r="H238" s="12"/>
      <c r="I238" s="12"/>
      <c r="J238" s="10"/>
      <c r="K238" s="12"/>
      <c r="L238" s="10"/>
      <c r="M238" s="12"/>
      <c r="N238" s="9" t="str">
        <f aca="false">IF(C238="","",IF(AND(H238="Có",I238="Có"),"1. Làm ngay",IF(H238="Có","2. Lên lịch",IF(I238="Có","3. Giao lại","4. Để sau"))))</f>
        <v/>
      </c>
      <c r="O238" s="9" t="str">
        <f aca="true">IF(OR(C238="",J238="",K238="Hoàn thành"),"",J238-TODAY())</f>
        <v/>
      </c>
      <c r="P238" s="9" t="str">
        <f aca="true">IF(C238="","",IF(K238="Hoàn thành",IF(OR(L238="",J238=""),"Xong (thiếu ngày)",IF(L238&lt;=J238,"Xong đúng hạn","Xong trễ")),IF(J238="","Chưa có hạn",IF(J238&lt;TODAY(),"Quá hạn",IF(J238=TODAY(),"Đến hạn hôm nay",IF(J238-TODAY()&lt;=3,"Sắp đến hạn","Trong hạn"))))))</f>
        <v/>
      </c>
      <c r="Q238" s="9" t="str">
        <f aca="false">IF(OR(C238="",J238=""),"",WEEKNUM(J238,21))</f>
        <v/>
      </c>
      <c r="R238" s="2"/>
      <c r="S238" s="9" t="str">
        <f aca="true">IF(AND(C238&lt;&gt;"",K238&lt;&gt;"Hoàn thành",J238&lt;&gt;"",J238&lt;=TODAY()),MAX(S$5:S237)+1,"")</f>
        <v/>
      </c>
      <c r="T238" s="9" t="str">
        <f aca="false">IF(AND(C238&lt;&gt;"",IF(K238="","Chưa làm",K238)="Chưa làm"),MAX(T$5:T237)+1,"")</f>
        <v/>
      </c>
      <c r="U238" s="9" t="str">
        <f aca="false">IF(AND(C238&lt;&gt;"",IF(K238="","Chưa làm",K238)="Đang làm"),MAX(U$5:U237)+1,"")</f>
        <v/>
      </c>
      <c r="V238" s="9" t="str">
        <f aca="false">IF(AND(C238&lt;&gt;"",IF(K238="","Chưa làm",K238)="Chờ duyệt"),MAX(V$5:V237)+1,"")</f>
        <v/>
      </c>
      <c r="W238" s="9" t="str">
        <f aca="false">IF(AND(C238&lt;&gt;"",IF(K238="","Chưa làm",K238)="Hoàn thành"),MAX(W$5:W237)+1,"")</f>
        <v/>
      </c>
      <c r="X238" s="9" t="str">
        <f aca="false">IF(AND(C238&lt;&gt;"",K238&lt;&gt;"Hoàn thành",N238="1. Làm ngay"),MAX(X$5:X237)+1,"")</f>
        <v/>
      </c>
      <c r="Y238" s="9" t="str">
        <f aca="false">IF(AND(C238&lt;&gt;"",K238&lt;&gt;"Hoàn thành",N238="2. Lên lịch"),MAX(Y$5:Y237)+1,"")</f>
        <v/>
      </c>
      <c r="Z238" s="9" t="str">
        <f aca="false">IF(AND(C238&lt;&gt;"",K238&lt;&gt;"Hoàn thành",N238="3. Giao lại"),MAX(Z$5:Z237)+1,"")</f>
        <v/>
      </c>
      <c r="AA238" s="9" t="str">
        <f aca="false">IF(AND(C238&lt;&gt;"",K238&lt;&gt;"Hoàn thành",N238="4. Để sau"),MAX(AA$5:AA237)+1,"")</f>
        <v/>
      </c>
      <c r="AB238" s="9" t="str">
        <f aca="false">IF(AND(C238&lt;&gt;"",J238&lt;&gt;"",J238&gt;=TUAN!$C$3,J238&lt;=TUAN!$C$3+6),MAX(AB$5:AB237)+1,"")</f>
        <v/>
      </c>
    </row>
    <row r="239" customFormat="false" ht="15" hidden="false" customHeight="false" outlineLevel="0" collapsed="false">
      <c r="A239" s="9" t="str">
        <f aca="false">IF(C239="","","CV"&amp;TEXT(ROW()-5,"000"))</f>
        <v/>
      </c>
      <c r="B239" s="10"/>
      <c r="C239" s="11"/>
      <c r="D239" s="12"/>
      <c r="E239" s="12"/>
      <c r="F239" s="12"/>
      <c r="G239" s="12"/>
      <c r="H239" s="12"/>
      <c r="I239" s="12"/>
      <c r="J239" s="10"/>
      <c r="K239" s="12"/>
      <c r="L239" s="10"/>
      <c r="M239" s="12"/>
      <c r="N239" s="9" t="str">
        <f aca="false">IF(C239="","",IF(AND(H239="Có",I239="Có"),"1. Làm ngay",IF(H239="Có","2. Lên lịch",IF(I239="Có","3. Giao lại","4. Để sau"))))</f>
        <v/>
      </c>
      <c r="O239" s="9" t="str">
        <f aca="true">IF(OR(C239="",J239="",K239="Hoàn thành"),"",J239-TODAY())</f>
        <v/>
      </c>
      <c r="P239" s="9" t="str">
        <f aca="true">IF(C239="","",IF(K239="Hoàn thành",IF(OR(L239="",J239=""),"Xong (thiếu ngày)",IF(L239&lt;=J239,"Xong đúng hạn","Xong trễ")),IF(J239="","Chưa có hạn",IF(J239&lt;TODAY(),"Quá hạn",IF(J239=TODAY(),"Đến hạn hôm nay",IF(J239-TODAY()&lt;=3,"Sắp đến hạn","Trong hạn"))))))</f>
        <v/>
      </c>
      <c r="Q239" s="9" t="str">
        <f aca="false">IF(OR(C239="",J239=""),"",WEEKNUM(J239,21))</f>
        <v/>
      </c>
      <c r="R239" s="2"/>
      <c r="S239" s="9" t="str">
        <f aca="true">IF(AND(C239&lt;&gt;"",K239&lt;&gt;"Hoàn thành",J239&lt;&gt;"",J239&lt;=TODAY()),MAX(S$5:S238)+1,"")</f>
        <v/>
      </c>
      <c r="T239" s="9" t="str">
        <f aca="false">IF(AND(C239&lt;&gt;"",IF(K239="","Chưa làm",K239)="Chưa làm"),MAX(T$5:T238)+1,"")</f>
        <v/>
      </c>
      <c r="U239" s="9" t="str">
        <f aca="false">IF(AND(C239&lt;&gt;"",IF(K239="","Chưa làm",K239)="Đang làm"),MAX(U$5:U238)+1,"")</f>
        <v/>
      </c>
      <c r="V239" s="9" t="str">
        <f aca="false">IF(AND(C239&lt;&gt;"",IF(K239="","Chưa làm",K239)="Chờ duyệt"),MAX(V$5:V238)+1,"")</f>
        <v/>
      </c>
      <c r="W239" s="9" t="str">
        <f aca="false">IF(AND(C239&lt;&gt;"",IF(K239="","Chưa làm",K239)="Hoàn thành"),MAX(W$5:W238)+1,"")</f>
        <v/>
      </c>
      <c r="X239" s="9" t="str">
        <f aca="false">IF(AND(C239&lt;&gt;"",K239&lt;&gt;"Hoàn thành",N239="1. Làm ngay"),MAX(X$5:X238)+1,"")</f>
        <v/>
      </c>
      <c r="Y239" s="9" t="str">
        <f aca="false">IF(AND(C239&lt;&gt;"",K239&lt;&gt;"Hoàn thành",N239="2. Lên lịch"),MAX(Y$5:Y238)+1,"")</f>
        <v/>
      </c>
      <c r="Z239" s="9" t="str">
        <f aca="false">IF(AND(C239&lt;&gt;"",K239&lt;&gt;"Hoàn thành",N239="3. Giao lại"),MAX(Z$5:Z238)+1,"")</f>
        <v/>
      </c>
      <c r="AA239" s="9" t="str">
        <f aca="false">IF(AND(C239&lt;&gt;"",K239&lt;&gt;"Hoàn thành",N239="4. Để sau"),MAX(AA$5:AA238)+1,"")</f>
        <v/>
      </c>
      <c r="AB239" s="9" t="str">
        <f aca="false">IF(AND(C239&lt;&gt;"",J239&lt;&gt;"",J239&gt;=TUAN!$C$3,J239&lt;=TUAN!$C$3+6),MAX(AB$5:AB238)+1,"")</f>
        <v/>
      </c>
    </row>
    <row r="240" customFormat="false" ht="15" hidden="false" customHeight="false" outlineLevel="0" collapsed="false">
      <c r="A240" s="9" t="str">
        <f aca="false">IF(C240="","","CV"&amp;TEXT(ROW()-5,"000"))</f>
        <v/>
      </c>
      <c r="B240" s="10"/>
      <c r="C240" s="11"/>
      <c r="D240" s="12"/>
      <c r="E240" s="12"/>
      <c r="F240" s="12"/>
      <c r="G240" s="12"/>
      <c r="H240" s="12"/>
      <c r="I240" s="12"/>
      <c r="J240" s="10"/>
      <c r="K240" s="12"/>
      <c r="L240" s="10"/>
      <c r="M240" s="12"/>
      <c r="N240" s="9" t="str">
        <f aca="false">IF(C240="","",IF(AND(H240="Có",I240="Có"),"1. Làm ngay",IF(H240="Có","2. Lên lịch",IF(I240="Có","3. Giao lại","4. Để sau"))))</f>
        <v/>
      </c>
      <c r="O240" s="9" t="str">
        <f aca="true">IF(OR(C240="",J240="",K240="Hoàn thành"),"",J240-TODAY())</f>
        <v/>
      </c>
      <c r="P240" s="9" t="str">
        <f aca="true">IF(C240="","",IF(K240="Hoàn thành",IF(OR(L240="",J240=""),"Xong (thiếu ngày)",IF(L240&lt;=J240,"Xong đúng hạn","Xong trễ")),IF(J240="","Chưa có hạn",IF(J240&lt;TODAY(),"Quá hạn",IF(J240=TODAY(),"Đến hạn hôm nay",IF(J240-TODAY()&lt;=3,"Sắp đến hạn","Trong hạn"))))))</f>
        <v/>
      </c>
      <c r="Q240" s="9" t="str">
        <f aca="false">IF(OR(C240="",J240=""),"",WEEKNUM(J240,21))</f>
        <v/>
      </c>
      <c r="R240" s="2"/>
      <c r="S240" s="9" t="str">
        <f aca="true">IF(AND(C240&lt;&gt;"",K240&lt;&gt;"Hoàn thành",J240&lt;&gt;"",J240&lt;=TODAY()),MAX(S$5:S239)+1,"")</f>
        <v/>
      </c>
      <c r="T240" s="9" t="str">
        <f aca="false">IF(AND(C240&lt;&gt;"",IF(K240="","Chưa làm",K240)="Chưa làm"),MAX(T$5:T239)+1,"")</f>
        <v/>
      </c>
      <c r="U240" s="9" t="str">
        <f aca="false">IF(AND(C240&lt;&gt;"",IF(K240="","Chưa làm",K240)="Đang làm"),MAX(U$5:U239)+1,"")</f>
        <v/>
      </c>
      <c r="V240" s="9" t="str">
        <f aca="false">IF(AND(C240&lt;&gt;"",IF(K240="","Chưa làm",K240)="Chờ duyệt"),MAX(V$5:V239)+1,"")</f>
        <v/>
      </c>
      <c r="W240" s="9" t="str">
        <f aca="false">IF(AND(C240&lt;&gt;"",IF(K240="","Chưa làm",K240)="Hoàn thành"),MAX(W$5:W239)+1,"")</f>
        <v/>
      </c>
      <c r="X240" s="9" t="str">
        <f aca="false">IF(AND(C240&lt;&gt;"",K240&lt;&gt;"Hoàn thành",N240="1. Làm ngay"),MAX(X$5:X239)+1,"")</f>
        <v/>
      </c>
      <c r="Y240" s="9" t="str">
        <f aca="false">IF(AND(C240&lt;&gt;"",K240&lt;&gt;"Hoàn thành",N240="2. Lên lịch"),MAX(Y$5:Y239)+1,"")</f>
        <v/>
      </c>
      <c r="Z240" s="9" t="str">
        <f aca="false">IF(AND(C240&lt;&gt;"",K240&lt;&gt;"Hoàn thành",N240="3. Giao lại"),MAX(Z$5:Z239)+1,"")</f>
        <v/>
      </c>
      <c r="AA240" s="9" t="str">
        <f aca="false">IF(AND(C240&lt;&gt;"",K240&lt;&gt;"Hoàn thành",N240="4. Để sau"),MAX(AA$5:AA239)+1,"")</f>
        <v/>
      </c>
      <c r="AB240" s="9" t="str">
        <f aca="false">IF(AND(C240&lt;&gt;"",J240&lt;&gt;"",J240&gt;=TUAN!$C$3,J240&lt;=TUAN!$C$3+6),MAX(AB$5:AB239)+1,"")</f>
        <v/>
      </c>
    </row>
    <row r="241" customFormat="false" ht="15" hidden="false" customHeight="false" outlineLevel="0" collapsed="false">
      <c r="A241" s="9" t="str">
        <f aca="false">IF(C241="","","CV"&amp;TEXT(ROW()-5,"000"))</f>
        <v/>
      </c>
      <c r="B241" s="10"/>
      <c r="C241" s="11"/>
      <c r="D241" s="12"/>
      <c r="E241" s="12"/>
      <c r="F241" s="12"/>
      <c r="G241" s="12"/>
      <c r="H241" s="12"/>
      <c r="I241" s="12"/>
      <c r="J241" s="10"/>
      <c r="K241" s="12"/>
      <c r="L241" s="10"/>
      <c r="M241" s="12"/>
      <c r="N241" s="9" t="str">
        <f aca="false">IF(C241="","",IF(AND(H241="Có",I241="Có"),"1. Làm ngay",IF(H241="Có","2. Lên lịch",IF(I241="Có","3. Giao lại","4. Để sau"))))</f>
        <v/>
      </c>
      <c r="O241" s="9" t="str">
        <f aca="true">IF(OR(C241="",J241="",K241="Hoàn thành"),"",J241-TODAY())</f>
        <v/>
      </c>
      <c r="P241" s="9" t="str">
        <f aca="true">IF(C241="","",IF(K241="Hoàn thành",IF(OR(L241="",J241=""),"Xong (thiếu ngày)",IF(L241&lt;=J241,"Xong đúng hạn","Xong trễ")),IF(J241="","Chưa có hạn",IF(J241&lt;TODAY(),"Quá hạn",IF(J241=TODAY(),"Đến hạn hôm nay",IF(J241-TODAY()&lt;=3,"Sắp đến hạn","Trong hạn"))))))</f>
        <v/>
      </c>
      <c r="Q241" s="9" t="str">
        <f aca="false">IF(OR(C241="",J241=""),"",WEEKNUM(J241,21))</f>
        <v/>
      </c>
      <c r="R241" s="2"/>
      <c r="S241" s="9" t="str">
        <f aca="true">IF(AND(C241&lt;&gt;"",K241&lt;&gt;"Hoàn thành",J241&lt;&gt;"",J241&lt;=TODAY()),MAX(S$5:S240)+1,"")</f>
        <v/>
      </c>
      <c r="T241" s="9" t="str">
        <f aca="false">IF(AND(C241&lt;&gt;"",IF(K241="","Chưa làm",K241)="Chưa làm"),MAX(T$5:T240)+1,"")</f>
        <v/>
      </c>
      <c r="U241" s="9" t="str">
        <f aca="false">IF(AND(C241&lt;&gt;"",IF(K241="","Chưa làm",K241)="Đang làm"),MAX(U$5:U240)+1,"")</f>
        <v/>
      </c>
      <c r="V241" s="9" t="str">
        <f aca="false">IF(AND(C241&lt;&gt;"",IF(K241="","Chưa làm",K241)="Chờ duyệt"),MAX(V$5:V240)+1,"")</f>
        <v/>
      </c>
      <c r="W241" s="9" t="str">
        <f aca="false">IF(AND(C241&lt;&gt;"",IF(K241="","Chưa làm",K241)="Hoàn thành"),MAX(W$5:W240)+1,"")</f>
        <v/>
      </c>
      <c r="X241" s="9" t="str">
        <f aca="false">IF(AND(C241&lt;&gt;"",K241&lt;&gt;"Hoàn thành",N241="1. Làm ngay"),MAX(X$5:X240)+1,"")</f>
        <v/>
      </c>
      <c r="Y241" s="9" t="str">
        <f aca="false">IF(AND(C241&lt;&gt;"",K241&lt;&gt;"Hoàn thành",N241="2. Lên lịch"),MAX(Y$5:Y240)+1,"")</f>
        <v/>
      </c>
      <c r="Z241" s="9" t="str">
        <f aca="false">IF(AND(C241&lt;&gt;"",K241&lt;&gt;"Hoàn thành",N241="3. Giao lại"),MAX(Z$5:Z240)+1,"")</f>
        <v/>
      </c>
      <c r="AA241" s="9" t="str">
        <f aca="false">IF(AND(C241&lt;&gt;"",K241&lt;&gt;"Hoàn thành",N241="4. Để sau"),MAX(AA$5:AA240)+1,"")</f>
        <v/>
      </c>
      <c r="AB241" s="9" t="str">
        <f aca="false">IF(AND(C241&lt;&gt;"",J241&lt;&gt;"",J241&gt;=TUAN!$C$3,J241&lt;=TUAN!$C$3+6),MAX(AB$5:AB240)+1,"")</f>
        <v/>
      </c>
    </row>
    <row r="242" customFormat="false" ht="15" hidden="false" customHeight="false" outlineLevel="0" collapsed="false">
      <c r="A242" s="9" t="str">
        <f aca="false">IF(C242="","","CV"&amp;TEXT(ROW()-5,"000"))</f>
        <v/>
      </c>
      <c r="B242" s="10"/>
      <c r="C242" s="11"/>
      <c r="D242" s="12"/>
      <c r="E242" s="12"/>
      <c r="F242" s="12"/>
      <c r="G242" s="12"/>
      <c r="H242" s="12"/>
      <c r="I242" s="12"/>
      <c r="J242" s="10"/>
      <c r="K242" s="12"/>
      <c r="L242" s="10"/>
      <c r="M242" s="12"/>
      <c r="N242" s="9" t="str">
        <f aca="false">IF(C242="","",IF(AND(H242="Có",I242="Có"),"1. Làm ngay",IF(H242="Có","2. Lên lịch",IF(I242="Có","3. Giao lại","4. Để sau"))))</f>
        <v/>
      </c>
      <c r="O242" s="9" t="str">
        <f aca="true">IF(OR(C242="",J242="",K242="Hoàn thành"),"",J242-TODAY())</f>
        <v/>
      </c>
      <c r="P242" s="9" t="str">
        <f aca="true">IF(C242="","",IF(K242="Hoàn thành",IF(OR(L242="",J242=""),"Xong (thiếu ngày)",IF(L242&lt;=J242,"Xong đúng hạn","Xong trễ")),IF(J242="","Chưa có hạn",IF(J242&lt;TODAY(),"Quá hạn",IF(J242=TODAY(),"Đến hạn hôm nay",IF(J242-TODAY()&lt;=3,"Sắp đến hạn","Trong hạn"))))))</f>
        <v/>
      </c>
      <c r="Q242" s="9" t="str">
        <f aca="false">IF(OR(C242="",J242=""),"",WEEKNUM(J242,21))</f>
        <v/>
      </c>
      <c r="R242" s="2"/>
      <c r="S242" s="9" t="str">
        <f aca="true">IF(AND(C242&lt;&gt;"",K242&lt;&gt;"Hoàn thành",J242&lt;&gt;"",J242&lt;=TODAY()),MAX(S$5:S241)+1,"")</f>
        <v/>
      </c>
      <c r="T242" s="9" t="str">
        <f aca="false">IF(AND(C242&lt;&gt;"",IF(K242="","Chưa làm",K242)="Chưa làm"),MAX(T$5:T241)+1,"")</f>
        <v/>
      </c>
      <c r="U242" s="9" t="str">
        <f aca="false">IF(AND(C242&lt;&gt;"",IF(K242="","Chưa làm",K242)="Đang làm"),MAX(U$5:U241)+1,"")</f>
        <v/>
      </c>
      <c r="V242" s="9" t="str">
        <f aca="false">IF(AND(C242&lt;&gt;"",IF(K242="","Chưa làm",K242)="Chờ duyệt"),MAX(V$5:V241)+1,"")</f>
        <v/>
      </c>
      <c r="W242" s="9" t="str">
        <f aca="false">IF(AND(C242&lt;&gt;"",IF(K242="","Chưa làm",K242)="Hoàn thành"),MAX(W$5:W241)+1,"")</f>
        <v/>
      </c>
      <c r="X242" s="9" t="str">
        <f aca="false">IF(AND(C242&lt;&gt;"",K242&lt;&gt;"Hoàn thành",N242="1. Làm ngay"),MAX(X$5:X241)+1,"")</f>
        <v/>
      </c>
      <c r="Y242" s="9" t="str">
        <f aca="false">IF(AND(C242&lt;&gt;"",K242&lt;&gt;"Hoàn thành",N242="2. Lên lịch"),MAX(Y$5:Y241)+1,"")</f>
        <v/>
      </c>
      <c r="Z242" s="9" t="str">
        <f aca="false">IF(AND(C242&lt;&gt;"",K242&lt;&gt;"Hoàn thành",N242="3. Giao lại"),MAX(Z$5:Z241)+1,"")</f>
        <v/>
      </c>
      <c r="AA242" s="9" t="str">
        <f aca="false">IF(AND(C242&lt;&gt;"",K242&lt;&gt;"Hoàn thành",N242="4. Để sau"),MAX(AA$5:AA241)+1,"")</f>
        <v/>
      </c>
      <c r="AB242" s="9" t="str">
        <f aca="false">IF(AND(C242&lt;&gt;"",J242&lt;&gt;"",J242&gt;=TUAN!$C$3,J242&lt;=TUAN!$C$3+6),MAX(AB$5:AB241)+1,"")</f>
        <v/>
      </c>
    </row>
    <row r="243" customFormat="false" ht="15" hidden="false" customHeight="false" outlineLevel="0" collapsed="false">
      <c r="A243" s="9" t="str">
        <f aca="false">IF(C243="","","CV"&amp;TEXT(ROW()-5,"000"))</f>
        <v/>
      </c>
      <c r="B243" s="10"/>
      <c r="C243" s="11"/>
      <c r="D243" s="12"/>
      <c r="E243" s="12"/>
      <c r="F243" s="12"/>
      <c r="G243" s="12"/>
      <c r="H243" s="12"/>
      <c r="I243" s="12"/>
      <c r="J243" s="10"/>
      <c r="K243" s="12"/>
      <c r="L243" s="10"/>
      <c r="M243" s="12"/>
      <c r="N243" s="9" t="str">
        <f aca="false">IF(C243="","",IF(AND(H243="Có",I243="Có"),"1. Làm ngay",IF(H243="Có","2. Lên lịch",IF(I243="Có","3. Giao lại","4. Để sau"))))</f>
        <v/>
      </c>
      <c r="O243" s="9" t="str">
        <f aca="true">IF(OR(C243="",J243="",K243="Hoàn thành"),"",J243-TODAY())</f>
        <v/>
      </c>
      <c r="P243" s="9" t="str">
        <f aca="true">IF(C243="","",IF(K243="Hoàn thành",IF(OR(L243="",J243=""),"Xong (thiếu ngày)",IF(L243&lt;=J243,"Xong đúng hạn","Xong trễ")),IF(J243="","Chưa có hạn",IF(J243&lt;TODAY(),"Quá hạn",IF(J243=TODAY(),"Đến hạn hôm nay",IF(J243-TODAY()&lt;=3,"Sắp đến hạn","Trong hạn"))))))</f>
        <v/>
      </c>
      <c r="Q243" s="9" t="str">
        <f aca="false">IF(OR(C243="",J243=""),"",WEEKNUM(J243,21))</f>
        <v/>
      </c>
      <c r="R243" s="2"/>
      <c r="S243" s="9" t="str">
        <f aca="true">IF(AND(C243&lt;&gt;"",K243&lt;&gt;"Hoàn thành",J243&lt;&gt;"",J243&lt;=TODAY()),MAX(S$5:S242)+1,"")</f>
        <v/>
      </c>
      <c r="T243" s="9" t="str">
        <f aca="false">IF(AND(C243&lt;&gt;"",IF(K243="","Chưa làm",K243)="Chưa làm"),MAX(T$5:T242)+1,"")</f>
        <v/>
      </c>
      <c r="U243" s="9" t="str">
        <f aca="false">IF(AND(C243&lt;&gt;"",IF(K243="","Chưa làm",K243)="Đang làm"),MAX(U$5:U242)+1,"")</f>
        <v/>
      </c>
      <c r="V243" s="9" t="str">
        <f aca="false">IF(AND(C243&lt;&gt;"",IF(K243="","Chưa làm",K243)="Chờ duyệt"),MAX(V$5:V242)+1,"")</f>
        <v/>
      </c>
      <c r="W243" s="9" t="str">
        <f aca="false">IF(AND(C243&lt;&gt;"",IF(K243="","Chưa làm",K243)="Hoàn thành"),MAX(W$5:W242)+1,"")</f>
        <v/>
      </c>
      <c r="X243" s="9" t="str">
        <f aca="false">IF(AND(C243&lt;&gt;"",K243&lt;&gt;"Hoàn thành",N243="1. Làm ngay"),MAX(X$5:X242)+1,"")</f>
        <v/>
      </c>
      <c r="Y243" s="9" t="str">
        <f aca="false">IF(AND(C243&lt;&gt;"",K243&lt;&gt;"Hoàn thành",N243="2. Lên lịch"),MAX(Y$5:Y242)+1,"")</f>
        <v/>
      </c>
      <c r="Z243" s="9" t="str">
        <f aca="false">IF(AND(C243&lt;&gt;"",K243&lt;&gt;"Hoàn thành",N243="3. Giao lại"),MAX(Z$5:Z242)+1,"")</f>
        <v/>
      </c>
      <c r="AA243" s="9" t="str">
        <f aca="false">IF(AND(C243&lt;&gt;"",K243&lt;&gt;"Hoàn thành",N243="4. Để sau"),MAX(AA$5:AA242)+1,"")</f>
        <v/>
      </c>
      <c r="AB243" s="9" t="str">
        <f aca="false">IF(AND(C243&lt;&gt;"",J243&lt;&gt;"",J243&gt;=TUAN!$C$3,J243&lt;=TUAN!$C$3+6),MAX(AB$5:AB242)+1,"")</f>
        <v/>
      </c>
    </row>
    <row r="244" customFormat="false" ht="15" hidden="false" customHeight="false" outlineLevel="0" collapsed="false">
      <c r="A244" s="9" t="str">
        <f aca="false">IF(C244="","","CV"&amp;TEXT(ROW()-5,"000"))</f>
        <v/>
      </c>
      <c r="B244" s="10"/>
      <c r="C244" s="11"/>
      <c r="D244" s="12"/>
      <c r="E244" s="12"/>
      <c r="F244" s="12"/>
      <c r="G244" s="12"/>
      <c r="H244" s="12"/>
      <c r="I244" s="12"/>
      <c r="J244" s="10"/>
      <c r="K244" s="12"/>
      <c r="L244" s="10"/>
      <c r="M244" s="12"/>
      <c r="N244" s="9" t="str">
        <f aca="false">IF(C244="","",IF(AND(H244="Có",I244="Có"),"1. Làm ngay",IF(H244="Có","2. Lên lịch",IF(I244="Có","3. Giao lại","4. Để sau"))))</f>
        <v/>
      </c>
      <c r="O244" s="9" t="str">
        <f aca="true">IF(OR(C244="",J244="",K244="Hoàn thành"),"",J244-TODAY())</f>
        <v/>
      </c>
      <c r="P244" s="9" t="str">
        <f aca="true">IF(C244="","",IF(K244="Hoàn thành",IF(OR(L244="",J244=""),"Xong (thiếu ngày)",IF(L244&lt;=J244,"Xong đúng hạn","Xong trễ")),IF(J244="","Chưa có hạn",IF(J244&lt;TODAY(),"Quá hạn",IF(J244=TODAY(),"Đến hạn hôm nay",IF(J244-TODAY()&lt;=3,"Sắp đến hạn","Trong hạn"))))))</f>
        <v/>
      </c>
      <c r="Q244" s="9" t="str">
        <f aca="false">IF(OR(C244="",J244=""),"",WEEKNUM(J244,21))</f>
        <v/>
      </c>
      <c r="R244" s="2"/>
      <c r="S244" s="9" t="str">
        <f aca="true">IF(AND(C244&lt;&gt;"",K244&lt;&gt;"Hoàn thành",J244&lt;&gt;"",J244&lt;=TODAY()),MAX(S$5:S243)+1,"")</f>
        <v/>
      </c>
      <c r="T244" s="9" t="str">
        <f aca="false">IF(AND(C244&lt;&gt;"",IF(K244="","Chưa làm",K244)="Chưa làm"),MAX(T$5:T243)+1,"")</f>
        <v/>
      </c>
      <c r="U244" s="9" t="str">
        <f aca="false">IF(AND(C244&lt;&gt;"",IF(K244="","Chưa làm",K244)="Đang làm"),MAX(U$5:U243)+1,"")</f>
        <v/>
      </c>
      <c r="V244" s="9" t="str">
        <f aca="false">IF(AND(C244&lt;&gt;"",IF(K244="","Chưa làm",K244)="Chờ duyệt"),MAX(V$5:V243)+1,"")</f>
        <v/>
      </c>
      <c r="W244" s="9" t="str">
        <f aca="false">IF(AND(C244&lt;&gt;"",IF(K244="","Chưa làm",K244)="Hoàn thành"),MAX(W$5:W243)+1,"")</f>
        <v/>
      </c>
      <c r="X244" s="9" t="str">
        <f aca="false">IF(AND(C244&lt;&gt;"",K244&lt;&gt;"Hoàn thành",N244="1. Làm ngay"),MAX(X$5:X243)+1,"")</f>
        <v/>
      </c>
      <c r="Y244" s="9" t="str">
        <f aca="false">IF(AND(C244&lt;&gt;"",K244&lt;&gt;"Hoàn thành",N244="2. Lên lịch"),MAX(Y$5:Y243)+1,"")</f>
        <v/>
      </c>
      <c r="Z244" s="9" t="str">
        <f aca="false">IF(AND(C244&lt;&gt;"",K244&lt;&gt;"Hoàn thành",N244="3. Giao lại"),MAX(Z$5:Z243)+1,"")</f>
        <v/>
      </c>
      <c r="AA244" s="9" t="str">
        <f aca="false">IF(AND(C244&lt;&gt;"",K244&lt;&gt;"Hoàn thành",N244="4. Để sau"),MAX(AA$5:AA243)+1,"")</f>
        <v/>
      </c>
      <c r="AB244" s="9" t="str">
        <f aca="false">IF(AND(C244&lt;&gt;"",J244&lt;&gt;"",J244&gt;=TUAN!$C$3,J244&lt;=TUAN!$C$3+6),MAX(AB$5:AB243)+1,"")</f>
        <v/>
      </c>
    </row>
    <row r="245" customFormat="false" ht="15" hidden="false" customHeight="false" outlineLevel="0" collapsed="false">
      <c r="A245" s="9" t="str">
        <f aca="false">IF(C245="","","CV"&amp;TEXT(ROW()-5,"000"))</f>
        <v/>
      </c>
      <c r="B245" s="10"/>
      <c r="C245" s="11"/>
      <c r="D245" s="12"/>
      <c r="E245" s="12"/>
      <c r="F245" s="12"/>
      <c r="G245" s="12"/>
      <c r="H245" s="12"/>
      <c r="I245" s="12"/>
      <c r="J245" s="10"/>
      <c r="K245" s="12"/>
      <c r="L245" s="10"/>
      <c r="M245" s="12"/>
      <c r="N245" s="9" t="str">
        <f aca="false">IF(C245="","",IF(AND(H245="Có",I245="Có"),"1. Làm ngay",IF(H245="Có","2. Lên lịch",IF(I245="Có","3. Giao lại","4. Để sau"))))</f>
        <v/>
      </c>
      <c r="O245" s="9" t="str">
        <f aca="true">IF(OR(C245="",J245="",K245="Hoàn thành"),"",J245-TODAY())</f>
        <v/>
      </c>
      <c r="P245" s="9" t="str">
        <f aca="true">IF(C245="","",IF(K245="Hoàn thành",IF(OR(L245="",J245=""),"Xong (thiếu ngày)",IF(L245&lt;=J245,"Xong đúng hạn","Xong trễ")),IF(J245="","Chưa có hạn",IF(J245&lt;TODAY(),"Quá hạn",IF(J245=TODAY(),"Đến hạn hôm nay",IF(J245-TODAY()&lt;=3,"Sắp đến hạn","Trong hạn"))))))</f>
        <v/>
      </c>
      <c r="Q245" s="9" t="str">
        <f aca="false">IF(OR(C245="",J245=""),"",WEEKNUM(J245,21))</f>
        <v/>
      </c>
      <c r="R245" s="2"/>
      <c r="S245" s="9" t="str">
        <f aca="true">IF(AND(C245&lt;&gt;"",K245&lt;&gt;"Hoàn thành",J245&lt;&gt;"",J245&lt;=TODAY()),MAX(S$5:S244)+1,"")</f>
        <v/>
      </c>
      <c r="T245" s="9" t="str">
        <f aca="false">IF(AND(C245&lt;&gt;"",IF(K245="","Chưa làm",K245)="Chưa làm"),MAX(T$5:T244)+1,"")</f>
        <v/>
      </c>
      <c r="U245" s="9" t="str">
        <f aca="false">IF(AND(C245&lt;&gt;"",IF(K245="","Chưa làm",K245)="Đang làm"),MAX(U$5:U244)+1,"")</f>
        <v/>
      </c>
      <c r="V245" s="9" t="str">
        <f aca="false">IF(AND(C245&lt;&gt;"",IF(K245="","Chưa làm",K245)="Chờ duyệt"),MAX(V$5:V244)+1,"")</f>
        <v/>
      </c>
      <c r="W245" s="9" t="str">
        <f aca="false">IF(AND(C245&lt;&gt;"",IF(K245="","Chưa làm",K245)="Hoàn thành"),MAX(W$5:W244)+1,"")</f>
        <v/>
      </c>
      <c r="X245" s="9" t="str">
        <f aca="false">IF(AND(C245&lt;&gt;"",K245&lt;&gt;"Hoàn thành",N245="1. Làm ngay"),MAX(X$5:X244)+1,"")</f>
        <v/>
      </c>
      <c r="Y245" s="9" t="str">
        <f aca="false">IF(AND(C245&lt;&gt;"",K245&lt;&gt;"Hoàn thành",N245="2. Lên lịch"),MAX(Y$5:Y244)+1,"")</f>
        <v/>
      </c>
      <c r="Z245" s="9" t="str">
        <f aca="false">IF(AND(C245&lt;&gt;"",K245&lt;&gt;"Hoàn thành",N245="3. Giao lại"),MAX(Z$5:Z244)+1,"")</f>
        <v/>
      </c>
      <c r="AA245" s="9" t="str">
        <f aca="false">IF(AND(C245&lt;&gt;"",K245&lt;&gt;"Hoàn thành",N245="4. Để sau"),MAX(AA$5:AA244)+1,"")</f>
        <v/>
      </c>
      <c r="AB245" s="9" t="str">
        <f aca="false">IF(AND(C245&lt;&gt;"",J245&lt;&gt;"",J245&gt;=TUAN!$C$3,J245&lt;=TUAN!$C$3+6),MAX(AB$5:AB244)+1,"")</f>
        <v/>
      </c>
    </row>
    <row r="246" customFormat="false" ht="15" hidden="false" customHeight="false" outlineLevel="0" collapsed="false">
      <c r="A246" s="9" t="str">
        <f aca="false">IF(C246="","","CV"&amp;TEXT(ROW()-5,"000"))</f>
        <v/>
      </c>
      <c r="B246" s="10"/>
      <c r="C246" s="11"/>
      <c r="D246" s="12"/>
      <c r="E246" s="12"/>
      <c r="F246" s="12"/>
      <c r="G246" s="12"/>
      <c r="H246" s="12"/>
      <c r="I246" s="12"/>
      <c r="J246" s="10"/>
      <c r="K246" s="12"/>
      <c r="L246" s="10"/>
      <c r="M246" s="12"/>
      <c r="N246" s="9" t="str">
        <f aca="false">IF(C246="","",IF(AND(H246="Có",I246="Có"),"1. Làm ngay",IF(H246="Có","2. Lên lịch",IF(I246="Có","3. Giao lại","4. Để sau"))))</f>
        <v/>
      </c>
      <c r="O246" s="9" t="str">
        <f aca="true">IF(OR(C246="",J246="",K246="Hoàn thành"),"",J246-TODAY())</f>
        <v/>
      </c>
      <c r="P246" s="9" t="str">
        <f aca="true">IF(C246="","",IF(K246="Hoàn thành",IF(OR(L246="",J246=""),"Xong (thiếu ngày)",IF(L246&lt;=J246,"Xong đúng hạn","Xong trễ")),IF(J246="","Chưa có hạn",IF(J246&lt;TODAY(),"Quá hạn",IF(J246=TODAY(),"Đến hạn hôm nay",IF(J246-TODAY()&lt;=3,"Sắp đến hạn","Trong hạn"))))))</f>
        <v/>
      </c>
      <c r="Q246" s="9" t="str">
        <f aca="false">IF(OR(C246="",J246=""),"",WEEKNUM(J246,21))</f>
        <v/>
      </c>
      <c r="R246" s="2"/>
      <c r="S246" s="9" t="str">
        <f aca="true">IF(AND(C246&lt;&gt;"",K246&lt;&gt;"Hoàn thành",J246&lt;&gt;"",J246&lt;=TODAY()),MAX(S$5:S245)+1,"")</f>
        <v/>
      </c>
      <c r="T246" s="9" t="str">
        <f aca="false">IF(AND(C246&lt;&gt;"",IF(K246="","Chưa làm",K246)="Chưa làm"),MAX(T$5:T245)+1,"")</f>
        <v/>
      </c>
      <c r="U246" s="9" t="str">
        <f aca="false">IF(AND(C246&lt;&gt;"",IF(K246="","Chưa làm",K246)="Đang làm"),MAX(U$5:U245)+1,"")</f>
        <v/>
      </c>
      <c r="V246" s="9" t="str">
        <f aca="false">IF(AND(C246&lt;&gt;"",IF(K246="","Chưa làm",K246)="Chờ duyệt"),MAX(V$5:V245)+1,"")</f>
        <v/>
      </c>
      <c r="W246" s="9" t="str">
        <f aca="false">IF(AND(C246&lt;&gt;"",IF(K246="","Chưa làm",K246)="Hoàn thành"),MAX(W$5:W245)+1,"")</f>
        <v/>
      </c>
      <c r="X246" s="9" t="str">
        <f aca="false">IF(AND(C246&lt;&gt;"",K246&lt;&gt;"Hoàn thành",N246="1. Làm ngay"),MAX(X$5:X245)+1,"")</f>
        <v/>
      </c>
      <c r="Y246" s="9" t="str">
        <f aca="false">IF(AND(C246&lt;&gt;"",K246&lt;&gt;"Hoàn thành",N246="2. Lên lịch"),MAX(Y$5:Y245)+1,"")</f>
        <v/>
      </c>
      <c r="Z246" s="9" t="str">
        <f aca="false">IF(AND(C246&lt;&gt;"",K246&lt;&gt;"Hoàn thành",N246="3. Giao lại"),MAX(Z$5:Z245)+1,"")</f>
        <v/>
      </c>
      <c r="AA246" s="9" t="str">
        <f aca="false">IF(AND(C246&lt;&gt;"",K246&lt;&gt;"Hoàn thành",N246="4. Để sau"),MAX(AA$5:AA245)+1,"")</f>
        <v/>
      </c>
      <c r="AB246" s="9" t="str">
        <f aca="false">IF(AND(C246&lt;&gt;"",J246&lt;&gt;"",J246&gt;=TUAN!$C$3,J246&lt;=TUAN!$C$3+6),MAX(AB$5:AB245)+1,"")</f>
        <v/>
      </c>
    </row>
    <row r="247" customFormat="false" ht="15" hidden="false" customHeight="false" outlineLevel="0" collapsed="false">
      <c r="A247" s="9" t="str">
        <f aca="false">IF(C247="","","CV"&amp;TEXT(ROW()-5,"000"))</f>
        <v/>
      </c>
      <c r="B247" s="10"/>
      <c r="C247" s="11"/>
      <c r="D247" s="12"/>
      <c r="E247" s="12"/>
      <c r="F247" s="12"/>
      <c r="G247" s="12"/>
      <c r="H247" s="12"/>
      <c r="I247" s="12"/>
      <c r="J247" s="10"/>
      <c r="K247" s="12"/>
      <c r="L247" s="10"/>
      <c r="M247" s="12"/>
      <c r="N247" s="9" t="str">
        <f aca="false">IF(C247="","",IF(AND(H247="Có",I247="Có"),"1. Làm ngay",IF(H247="Có","2. Lên lịch",IF(I247="Có","3. Giao lại","4. Để sau"))))</f>
        <v/>
      </c>
      <c r="O247" s="9" t="str">
        <f aca="true">IF(OR(C247="",J247="",K247="Hoàn thành"),"",J247-TODAY())</f>
        <v/>
      </c>
      <c r="P247" s="9" t="str">
        <f aca="true">IF(C247="","",IF(K247="Hoàn thành",IF(OR(L247="",J247=""),"Xong (thiếu ngày)",IF(L247&lt;=J247,"Xong đúng hạn","Xong trễ")),IF(J247="","Chưa có hạn",IF(J247&lt;TODAY(),"Quá hạn",IF(J247=TODAY(),"Đến hạn hôm nay",IF(J247-TODAY()&lt;=3,"Sắp đến hạn","Trong hạn"))))))</f>
        <v/>
      </c>
      <c r="Q247" s="9" t="str">
        <f aca="false">IF(OR(C247="",J247=""),"",WEEKNUM(J247,21))</f>
        <v/>
      </c>
      <c r="R247" s="2"/>
      <c r="S247" s="9" t="str">
        <f aca="true">IF(AND(C247&lt;&gt;"",K247&lt;&gt;"Hoàn thành",J247&lt;&gt;"",J247&lt;=TODAY()),MAX(S$5:S246)+1,"")</f>
        <v/>
      </c>
      <c r="T247" s="9" t="str">
        <f aca="false">IF(AND(C247&lt;&gt;"",IF(K247="","Chưa làm",K247)="Chưa làm"),MAX(T$5:T246)+1,"")</f>
        <v/>
      </c>
      <c r="U247" s="9" t="str">
        <f aca="false">IF(AND(C247&lt;&gt;"",IF(K247="","Chưa làm",K247)="Đang làm"),MAX(U$5:U246)+1,"")</f>
        <v/>
      </c>
      <c r="V247" s="9" t="str">
        <f aca="false">IF(AND(C247&lt;&gt;"",IF(K247="","Chưa làm",K247)="Chờ duyệt"),MAX(V$5:V246)+1,"")</f>
        <v/>
      </c>
      <c r="W247" s="9" t="str">
        <f aca="false">IF(AND(C247&lt;&gt;"",IF(K247="","Chưa làm",K247)="Hoàn thành"),MAX(W$5:W246)+1,"")</f>
        <v/>
      </c>
      <c r="X247" s="9" t="str">
        <f aca="false">IF(AND(C247&lt;&gt;"",K247&lt;&gt;"Hoàn thành",N247="1. Làm ngay"),MAX(X$5:X246)+1,"")</f>
        <v/>
      </c>
      <c r="Y247" s="9" t="str">
        <f aca="false">IF(AND(C247&lt;&gt;"",K247&lt;&gt;"Hoàn thành",N247="2. Lên lịch"),MAX(Y$5:Y246)+1,"")</f>
        <v/>
      </c>
      <c r="Z247" s="9" t="str">
        <f aca="false">IF(AND(C247&lt;&gt;"",K247&lt;&gt;"Hoàn thành",N247="3. Giao lại"),MAX(Z$5:Z246)+1,"")</f>
        <v/>
      </c>
      <c r="AA247" s="9" t="str">
        <f aca="false">IF(AND(C247&lt;&gt;"",K247&lt;&gt;"Hoàn thành",N247="4. Để sau"),MAX(AA$5:AA246)+1,"")</f>
        <v/>
      </c>
      <c r="AB247" s="9" t="str">
        <f aca="false">IF(AND(C247&lt;&gt;"",J247&lt;&gt;"",J247&gt;=TUAN!$C$3,J247&lt;=TUAN!$C$3+6),MAX(AB$5:AB246)+1,"")</f>
        <v/>
      </c>
    </row>
    <row r="248" customFormat="false" ht="15" hidden="false" customHeight="false" outlineLevel="0" collapsed="false">
      <c r="A248" s="9" t="str">
        <f aca="false">IF(C248="","","CV"&amp;TEXT(ROW()-5,"000"))</f>
        <v/>
      </c>
      <c r="B248" s="10"/>
      <c r="C248" s="11"/>
      <c r="D248" s="12"/>
      <c r="E248" s="12"/>
      <c r="F248" s="12"/>
      <c r="G248" s="12"/>
      <c r="H248" s="12"/>
      <c r="I248" s="12"/>
      <c r="J248" s="10"/>
      <c r="K248" s="12"/>
      <c r="L248" s="10"/>
      <c r="M248" s="12"/>
      <c r="N248" s="9" t="str">
        <f aca="false">IF(C248="","",IF(AND(H248="Có",I248="Có"),"1. Làm ngay",IF(H248="Có","2. Lên lịch",IF(I248="Có","3. Giao lại","4. Để sau"))))</f>
        <v/>
      </c>
      <c r="O248" s="9" t="str">
        <f aca="true">IF(OR(C248="",J248="",K248="Hoàn thành"),"",J248-TODAY())</f>
        <v/>
      </c>
      <c r="P248" s="9" t="str">
        <f aca="true">IF(C248="","",IF(K248="Hoàn thành",IF(OR(L248="",J248=""),"Xong (thiếu ngày)",IF(L248&lt;=J248,"Xong đúng hạn","Xong trễ")),IF(J248="","Chưa có hạn",IF(J248&lt;TODAY(),"Quá hạn",IF(J248=TODAY(),"Đến hạn hôm nay",IF(J248-TODAY()&lt;=3,"Sắp đến hạn","Trong hạn"))))))</f>
        <v/>
      </c>
      <c r="Q248" s="9" t="str">
        <f aca="false">IF(OR(C248="",J248=""),"",WEEKNUM(J248,21))</f>
        <v/>
      </c>
      <c r="R248" s="2"/>
      <c r="S248" s="9" t="str">
        <f aca="true">IF(AND(C248&lt;&gt;"",K248&lt;&gt;"Hoàn thành",J248&lt;&gt;"",J248&lt;=TODAY()),MAX(S$5:S247)+1,"")</f>
        <v/>
      </c>
      <c r="T248" s="9" t="str">
        <f aca="false">IF(AND(C248&lt;&gt;"",IF(K248="","Chưa làm",K248)="Chưa làm"),MAX(T$5:T247)+1,"")</f>
        <v/>
      </c>
      <c r="U248" s="9" t="str">
        <f aca="false">IF(AND(C248&lt;&gt;"",IF(K248="","Chưa làm",K248)="Đang làm"),MAX(U$5:U247)+1,"")</f>
        <v/>
      </c>
      <c r="V248" s="9" t="str">
        <f aca="false">IF(AND(C248&lt;&gt;"",IF(K248="","Chưa làm",K248)="Chờ duyệt"),MAX(V$5:V247)+1,"")</f>
        <v/>
      </c>
      <c r="W248" s="9" t="str">
        <f aca="false">IF(AND(C248&lt;&gt;"",IF(K248="","Chưa làm",K248)="Hoàn thành"),MAX(W$5:W247)+1,"")</f>
        <v/>
      </c>
      <c r="X248" s="9" t="str">
        <f aca="false">IF(AND(C248&lt;&gt;"",K248&lt;&gt;"Hoàn thành",N248="1. Làm ngay"),MAX(X$5:X247)+1,"")</f>
        <v/>
      </c>
      <c r="Y248" s="9" t="str">
        <f aca="false">IF(AND(C248&lt;&gt;"",K248&lt;&gt;"Hoàn thành",N248="2. Lên lịch"),MAX(Y$5:Y247)+1,"")</f>
        <v/>
      </c>
      <c r="Z248" s="9" t="str">
        <f aca="false">IF(AND(C248&lt;&gt;"",K248&lt;&gt;"Hoàn thành",N248="3. Giao lại"),MAX(Z$5:Z247)+1,"")</f>
        <v/>
      </c>
      <c r="AA248" s="9" t="str">
        <f aca="false">IF(AND(C248&lt;&gt;"",K248&lt;&gt;"Hoàn thành",N248="4. Để sau"),MAX(AA$5:AA247)+1,"")</f>
        <v/>
      </c>
      <c r="AB248" s="9" t="str">
        <f aca="false">IF(AND(C248&lt;&gt;"",J248&lt;&gt;"",J248&gt;=TUAN!$C$3,J248&lt;=TUAN!$C$3+6),MAX(AB$5:AB247)+1,"")</f>
        <v/>
      </c>
    </row>
    <row r="249" customFormat="false" ht="15" hidden="false" customHeight="false" outlineLevel="0" collapsed="false">
      <c r="A249" s="9" t="str">
        <f aca="false">IF(C249="","","CV"&amp;TEXT(ROW()-5,"000"))</f>
        <v/>
      </c>
      <c r="B249" s="10"/>
      <c r="C249" s="11"/>
      <c r="D249" s="12"/>
      <c r="E249" s="12"/>
      <c r="F249" s="12"/>
      <c r="G249" s="12"/>
      <c r="H249" s="12"/>
      <c r="I249" s="12"/>
      <c r="J249" s="10"/>
      <c r="K249" s="12"/>
      <c r="L249" s="10"/>
      <c r="M249" s="12"/>
      <c r="N249" s="9" t="str">
        <f aca="false">IF(C249="","",IF(AND(H249="Có",I249="Có"),"1. Làm ngay",IF(H249="Có","2. Lên lịch",IF(I249="Có","3. Giao lại","4. Để sau"))))</f>
        <v/>
      </c>
      <c r="O249" s="9" t="str">
        <f aca="true">IF(OR(C249="",J249="",K249="Hoàn thành"),"",J249-TODAY())</f>
        <v/>
      </c>
      <c r="P249" s="9" t="str">
        <f aca="true">IF(C249="","",IF(K249="Hoàn thành",IF(OR(L249="",J249=""),"Xong (thiếu ngày)",IF(L249&lt;=J249,"Xong đúng hạn","Xong trễ")),IF(J249="","Chưa có hạn",IF(J249&lt;TODAY(),"Quá hạn",IF(J249=TODAY(),"Đến hạn hôm nay",IF(J249-TODAY()&lt;=3,"Sắp đến hạn","Trong hạn"))))))</f>
        <v/>
      </c>
      <c r="Q249" s="9" t="str">
        <f aca="false">IF(OR(C249="",J249=""),"",WEEKNUM(J249,21))</f>
        <v/>
      </c>
      <c r="R249" s="2"/>
      <c r="S249" s="9" t="str">
        <f aca="true">IF(AND(C249&lt;&gt;"",K249&lt;&gt;"Hoàn thành",J249&lt;&gt;"",J249&lt;=TODAY()),MAX(S$5:S248)+1,"")</f>
        <v/>
      </c>
      <c r="T249" s="9" t="str">
        <f aca="false">IF(AND(C249&lt;&gt;"",IF(K249="","Chưa làm",K249)="Chưa làm"),MAX(T$5:T248)+1,"")</f>
        <v/>
      </c>
      <c r="U249" s="9" t="str">
        <f aca="false">IF(AND(C249&lt;&gt;"",IF(K249="","Chưa làm",K249)="Đang làm"),MAX(U$5:U248)+1,"")</f>
        <v/>
      </c>
      <c r="V249" s="9" t="str">
        <f aca="false">IF(AND(C249&lt;&gt;"",IF(K249="","Chưa làm",K249)="Chờ duyệt"),MAX(V$5:V248)+1,"")</f>
        <v/>
      </c>
      <c r="W249" s="9" t="str">
        <f aca="false">IF(AND(C249&lt;&gt;"",IF(K249="","Chưa làm",K249)="Hoàn thành"),MAX(W$5:W248)+1,"")</f>
        <v/>
      </c>
      <c r="X249" s="9" t="str">
        <f aca="false">IF(AND(C249&lt;&gt;"",K249&lt;&gt;"Hoàn thành",N249="1. Làm ngay"),MAX(X$5:X248)+1,"")</f>
        <v/>
      </c>
      <c r="Y249" s="9" t="str">
        <f aca="false">IF(AND(C249&lt;&gt;"",K249&lt;&gt;"Hoàn thành",N249="2. Lên lịch"),MAX(Y$5:Y248)+1,"")</f>
        <v/>
      </c>
      <c r="Z249" s="9" t="str">
        <f aca="false">IF(AND(C249&lt;&gt;"",K249&lt;&gt;"Hoàn thành",N249="3. Giao lại"),MAX(Z$5:Z248)+1,"")</f>
        <v/>
      </c>
      <c r="AA249" s="9" t="str">
        <f aca="false">IF(AND(C249&lt;&gt;"",K249&lt;&gt;"Hoàn thành",N249="4. Để sau"),MAX(AA$5:AA248)+1,"")</f>
        <v/>
      </c>
      <c r="AB249" s="9" t="str">
        <f aca="false">IF(AND(C249&lt;&gt;"",J249&lt;&gt;"",J249&gt;=TUAN!$C$3,J249&lt;=TUAN!$C$3+6),MAX(AB$5:AB248)+1,"")</f>
        <v/>
      </c>
    </row>
    <row r="250" customFormat="false" ht="15" hidden="false" customHeight="false" outlineLevel="0" collapsed="false">
      <c r="A250" s="9" t="str">
        <f aca="false">IF(C250="","","CV"&amp;TEXT(ROW()-5,"000"))</f>
        <v/>
      </c>
      <c r="B250" s="10"/>
      <c r="C250" s="11"/>
      <c r="D250" s="12"/>
      <c r="E250" s="12"/>
      <c r="F250" s="12"/>
      <c r="G250" s="12"/>
      <c r="H250" s="12"/>
      <c r="I250" s="12"/>
      <c r="J250" s="10"/>
      <c r="K250" s="12"/>
      <c r="L250" s="10"/>
      <c r="M250" s="12"/>
      <c r="N250" s="9" t="str">
        <f aca="false">IF(C250="","",IF(AND(H250="Có",I250="Có"),"1. Làm ngay",IF(H250="Có","2. Lên lịch",IF(I250="Có","3. Giao lại","4. Để sau"))))</f>
        <v/>
      </c>
      <c r="O250" s="9" t="str">
        <f aca="true">IF(OR(C250="",J250="",K250="Hoàn thành"),"",J250-TODAY())</f>
        <v/>
      </c>
      <c r="P250" s="9" t="str">
        <f aca="true">IF(C250="","",IF(K250="Hoàn thành",IF(OR(L250="",J250=""),"Xong (thiếu ngày)",IF(L250&lt;=J250,"Xong đúng hạn","Xong trễ")),IF(J250="","Chưa có hạn",IF(J250&lt;TODAY(),"Quá hạn",IF(J250=TODAY(),"Đến hạn hôm nay",IF(J250-TODAY()&lt;=3,"Sắp đến hạn","Trong hạn"))))))</f>
        <v/>
      </c>
      <c r="Q250" s="9" t="str">
        <f aca="false">IF(OR(C250="",J250=""),"",WEEKNUM(J250,21))</f>
        <v/>
      </c>
      <c r="R250" s="2"/>
      <c r="S250" s="9" t="str">
        <f aca="true">IF(AND(C250&lt;&gt;"",K250&lt;&gt;"Hoàn thành",J250&lt;&gt;"",J250&lt;=TODAY()),MAX(S$5:S249)+1,"")</f>
        <v/>
      </c>
      <c r="T250" s="9" t="str">
        <f aca="false">IF(AND(C250&lt;&gt;"",IF(K250="","Chưa làm",K250)="Chưa làm"),MAX(T$5:T249)+1,"")</f>
        <v/>
      </c>
      <c r="U250" s="9" t="str">
        <f aca="false">IF(AND(C250&lt;&gt;"",IF(K250="","Chưa làm",K250)="Đang làm"),MAX(U$5:U249)+1,"")</f>
        <v/>
      </c>
      <c r="V250" s="9" t="str">
        <f aca="false">IF(AND(C250&lt;&gt;"",IF(K250="","Chưa làm",K250)="Chờ duyệt"),MAX(V$5:V249)+1,"")</f>
        <v/>
      </c>
      <c r="W250" s="9" t="str">
        <f aca="false">IF(AND(C250&lt;&gt;"",IF(K250="","Chưa làm",K250)="Hoàn thành"),MAX(W$5:W249)+1,"")</f>
        <v/>
      </c>
      <c r="X250" s="9" t="str">
        <f aca="false">IF(AND(C250&lt;&gt;"",K250&lt;&gt;"Hoàn thành",N250="1. Làm ngay"),MAX(X$5:X249)+1,"")</f>
        <v/>
      </c>
      <c r="Y250" s="9" t="str">
        <f aca="false">IF(AND(C250&lt;&gt;"",K250&lt;&gt;"Hoàn thành",N250="2. Lên lịch"),MAX(Y$5:Y249)+1,"")</f>
        <v/>
      </c>
      <c r="Z250" s="9" t="str">
        <f aca="false">IF(AND(C250&lt;&gt;"",K250&lt;&gt;"Hoàn thành",N250="3. Giao lại"),MAX(Z$5:Z249)+1,"")</f>
        <v/>
      </c>
      <c r="AA250" s="9" t="str">
        <f aca="false">IF(AND(C250&lt;&gt;"",K250&lt;&gt;"Hoàn thành",N250="4. Để sau"),MAX(AA$5:AA249)+1,"")</f>
        <v/>
      </c>
      <c r="AB250" s="9" t="str">
        <f aca="false">IF(AND(C250&lt;&gt;"",J250&lt;&gt;"",J250&gt;=TUAN!$C$3,J250&lt;=TUAN!$C$3+6),MAX(AB$5:AB249)+1,"")</f>
        <v/>
      </c>
    </row>
    <row r="251" customFormat="false" ht="15" hidden="false" customHeight="false" outlineLevel="0" collapsed="false">
      <c r="A251" s="9" t="str">
        <f aca="false">IF(C251="","","CV"&amp;TEXT(ROW()-5,"000"))</f>
        <v/>
      </c>
      <c r="B251" s="10"/>
      <c r="C251" s="11"/>
      <c r="D251" s="12"/>
      <c r="E251" s="12"/>
      <c r="F251" s="12"/>
      <c r="G251" s="12"/>
      <c r="H251" s="12"/>
      <c r="I251" s="12"/>
      <c r="J251" s="10"/>
      <c r="K251" s="12"/>
      <c r="L251" s="10"/>
      <c r="M251" s="12"/>
      <c r="N251" s="9" t="str">
        <f aca="false">IF(C251="","",IF(AND(H251="Có",I251="Có"),"1. Làm ngay",IF(H251="Có","2. Lên lịch",IF(I251="Có","3. Giao lại","4. Để sau"))))</f>
        <v/>
      </c>
      <c r="O251" s="9" t="str">
        <f aca="true">IF(OR(C251="",J251="",K251="Hoàn thành"),"",J251-TODAY())</f>
        <v/>
      </c>
      <c r="P251" s="9" t="str">
        <f aca="true">IF(C251="","",IF(K251="Hoàn thành",IF(OR(L251="",J251=""),"Xong (thiếu ngày)",IF(L251&lt;=J251,"Xong đúng hạn","Xong trễ")),IF(J251="","Chưa có hạn",IF(J251&lt;TODAY(),"Quá hạn",IF(J251=TODAY(),"Đến hạn hôm nay",IF(J251-TODAY()&lt;=3,"Sắp đến hạn","Trong hạn"))))))</f>
        <v/>
      </c>
      <c r="Q251" s="9" t="str">
        <f aca="false">IF(OR(C251="",J251=""),"",WEEKNUM(J251,21))</f>
        <v/>
      </c>
      <c r="R251" s="2"/>
      <c r="S251" s="9" t="str">
        <f aca="true">IF(AND(C251&lt;&gt;"",K251&lt;&gt;"Hoàn thành",J251&lt;&gt;"",J251&lt;=TODAY()),MAX(S$5:S250)+1,"")</f>
        <v/>
      </c>
      <c r="T251" s="9" t="str">
        <f aca="false">IF(AND(C251&lt;&gt;"",IF(K251="","Chưa làm",K251)="Chưa làm"),MAX(T$5:T250)+1,"")</f>
        <v/>
      </c>
      <c r="U251" s="9" t="str">
        <f aca="false">IF(AND(C251&lt;&gt;"",IF(K251="","Chưa làm",K251)="Đang làm"),MAX(U$5:U250)+1,"")</f>
        <v/>
      </c>
      <c r="V251" s="9" t="str">
        <f aca="false">IF(AND(C251&lt;&gt;"",IF(K251="","Chưa làm",K251)="Chờ duyệt"),MAX(V$5:V250)+1,"")</f>
        <v/>
      </c>
      <c r="W251" s="9" t="str">
        <f aca="false">IF(AND(C251&lt;&gt;"",IF(K251="","Chưa làm",K251)="Hoàn thành"),MAX(W$5:W250)+1,"")</f>
        <v/>
      </c>
      <c r="X251" s="9" t="str">
        <f aca="false">IF(AND(C251&lt;&gt;"",K251&lt;&gt;"Hoàn thành",N251="1. Làm ngay"),MAX(X$5:X250)+1,"")</f>
        <v/>
      </c>
      <c r="Y251" s="9" t="str">
        <f aca="false">IF(AND(C251&lt;&gt;"",K251&lt;&gt;"Hoàn thành",N251="2. Lên lịch"),MAX(Y$5:Y250)+1,"")</f>
        <v/>
      </c>
      <c r="Z251" s="9" t="str">
        <f aca="false">IF(AND(C251&lt;&gt;"",K251&lt;&gt;"Hoàn thành",N251="3. Giao lại"),MAX(Z$5:Z250)+1,"")</f>
        <v/>
      </c>
      <c r="AA251" s="9" t="str">
        <f aca="false">IF(AND(C251&lt;&gt;"",K251&lt;&gt;"Hoàn thành",N251="4. Để sau"),MAX(AA$5:AA250)+1,"")</f>
        <v/>
      </c>
      <c r="AB251" s="9" t="str">
        <f aca="false">IF(AND(C251&lt;&gt;"",J251&lt;&gt;"",J251&gt;=TUAN!$C$3,J251&lt;=TUAN!$C$3+6),MAX(AB$5:AB250)+1,"")</f>
        <v/>
      </c>
    </row>
    <row r="252" customFormat="false" ht="15" hidden="false" customHeight="false" outlineLevel="0" collapsed="false">
      <c r="A252" s="9" t="str">
        <f aca="false">IF(C252="","","CV"&amp;TEXT(ROW()-5,"000"))</f>
        <v/>
      </c>
      <c r="B252" s="10"/>
      <c r="C252" s="11"/>
      <c r="D252" s="12"/>
      <c r="E252" s="12"/>
      <c r="F252" s="12"/>
      <c r="G252" s="12"/>
      <c r="H252" s="12"/>
      <c r="I252" s="12"/>
      <c r="J252" s="10"/>
      <c r="K252" s="12"/>
      <c r="L252" s="10"/>
      <c r="M252" s="12"/>
      <c r="N252" s="9" t="str">
        <f aca="false">IF(C252="","",IF(AND(H252="Có",I252="Có"),"1. Làm ngay",IF(H252="Có","2. Lên lịch",IF(I252="Có","3. Giao lại","4. Để sau"))))</f>
        <v/>
      </c>
      <c r="O252" s="9" t="str">
        <f aca="true">IF(OR(C252="",J252="",K252="Hoàn thành"),"",J252-TODAY())</f>
        <v/>
      </c>
      <c r="P252" s="9" t="str">
        <f aca="true">IF(C252="","",IF(K252="Hoàn thành",IF(OR(L252="",J252=""),"Xong (thiếu ngày)",IF(L252&lt;=J252,"Xong đúng hạn","Xong trễ")),IF(J252="","Chưa có hạn",IF(J252&lt;TODAY(),"Quá hạn",IF(J252=TODAY(),"Đến hạn hôm nay",IF(J252-TODAY()&lt;=3,"Sắp đến hạn","Trong hạn"))))))</f>
        <v/>
      </c>
      <c r="Q252" s="9" t="str">
        <f aca="false">IF(OR(C252="",J252=""),"",WEEKNUM(J252,21))</f>
        <v/>
      </c>
      <c r="R252" s="2"/>
      <c r="S252" s="9" t="str">
        <f aca="true">IF(AND(C252&lt;&gt;"",K252&lt;&gt;"Hoàn thành",J252&lt;&gt;"",J252&lt;=TODAY()),MAX(S$5:S251)+1,"")</f>
        <v/>
      </c>
      <c r="T252" s="9" t="str">
        <f aca="false">IF(AND(C252&lt;&gt;"",IF(K252="","Chưa làm",K252)="Chưa làm"),MAX(T$5:T251)+1,"")</f>
        <v/>
      </c>
      <c r="U252" s="9" t="str">
        <f aca="false">IF(AND(C252&lt;&gt;"",IF(K252="","Chưa làm",K252)="Đang làm"),MAX(U$5:U251)+1,"")</f>
        <v/>
      </c>
      <c r="V252" s="9" t="str">
        <f aca="false">IF(AND(C252&lt;&gt;"",IF(K252="","Chưa làm",K252)="Chờ duyệt"),MAX(V$5:V251)+1,"")</f>
        <v/>
      </c>
      <c r="W252" s="9" t="str">
        <f aca="false">IF(AND(C252&lt;&gt;"",IF(K252="","Chưa làm",K252)="Hoàn thành"),MAX(W$5:W251)+1,"")</f>
        <v/>
      </c>
      <c r="X252" s="9" t="str">
        <f aca="false">IF(AND(C252&lt;&gt;"",K252&lt;&gt;"Hoàn thành",N252="1. Làm ngay"),MAX(X$5:X251)+1,"")</f>
        <v/>
      </c>
      <c r="Y252" s="9" t="str">
        <f aca="false">IF(AND(C252&lt;&gt;"",K252&lt;&gt;"Hoàn thành",N252="2. Lên lịch"),MAX(Y$5:Y251)+1,"")</f>
        <v/>
      </c>
      <c r="Z252" s="9" t="str">
        <f aca="false">IF(AND(C252&lt;&gt;"",K252&lt;&gt;"Hoàn thành",N252="3. Giao lại"),MAX(Z$5:Z251)+1,"")</f>
        <v/>
      </c>
      <c r="AA252" s="9" t="str">
        <f aca="false">IF(AND(C252&lt;&gt;"",K252&lt;&gt;"Hoàn thành",N252="4. Để sau"),MAX(AA$5:AA251)+1,"")</f>
        <v/>
      </c>
      <c r="AB252" s="9" t="str">
        <f aca="false">IF(AND(C252&lt;&gt;"",J252&lt;&gt;"",J252&gt;=TUAN!$C$3,J252&lt;=TUAN!$C$3+6),MAX(AB$5:AB251)+1,"")</f>
        <v/>
      </c>
    </row>
    <row r="253" customFormat="false" ht="15" hidden="false" customHeight="false" outlineLevel="0" collapsed="false">
      <c r="A253" s="9" t="str">
        <f aca="false">IF(C253="","","CV"&amp;TEXT(ROW()-5,"000"))</f>
        <v/>
      </c>
      <c r="B253" s="10"/>
      <c r="C253" s="11"/>
      <c r="D253" s="12"/>
      <c r="E253" s="12"/>
      <c r="F253" s="12"/>
      <c r="G253" s="12"/>
      <c r="H253" s="12"/>
      <c r="I253" s="12"/>
      <c r="J253" s="10"/>
      <c r="K253" s="12"/>
      <c r="L253" s="10"/>
      <c r="M253" s="12"/>
      <c r="N253" s="9" t="str">
        <f aca="false">IF(C253="","",IF(AND(H253="Có",I253="Có"),"1. Làm ngay",IF(H253="Có","2. Lên lịch",IF(I253="Có","3. Giao lại","4. Để sau"))))</f>
        <v/>
      </c>
      <c r="O253" s="9" t="str">
        <f aca="true">IF(OR(C253="",J253="",K253="Hoàn thành"),"",J253-TODAY())</f>
        <v/>
      </c>
      <c r="P253" s="9" t="str">
        <f aca="true">IF(C253="","",IF(K253="Hoàn thành",IF(OR(L253="",J253=""),"Xong (thiếu ngày)",IF(L253&lt;=J253,"Xong đúng hạn","Xong trễ")),IF(J253="","Chưa có hạn",IF(J253&lt;TODAY(),"Quá hạn",IF(J253=TODAY(),"Đến hạn hôm nay",IF(J253-TODAY()&lt;=3,"Sắp đến hạn","Trong hạn"))))))</f>
        <v/>
      </c>
      <c r="Q253" s="9" t="str">
        <f aca="false">IF(OR(C253="",J253=""),"",WEEKNUM(J253,21))</f>
        <v/>
      </c>
      <c r="R253" s="2"/>
      <c r="S253" s="9" t="str">
        <f aca="true">IF(AND(C253&lt;&gt;"",K253&lt;&gt;"Hoàn thành",J253&lt;&gt;"",J253&lt;=TODAY()),MAX(S$5:S252)+1,"")</f>
        <v/>
      </c>
      <c r="T253" s="9" t="str">
        <f aca="false">IF(AND(C253&lt;&gt;"",IF(K253="","Chưa làm",K253)="Chưa làm"),MAX(T$5:T252)+1,"")</f>
        <v/>
      </c>
      <c r="U253" s="9" t="str">
        <f aca="false">IF(AND(C253&lt;&gt;"",IF(K253="","Chưa làm",K253)="Đang làm"),MAX(U$5:U252)+1,"")</f>
        <v/>
      </c>
      <c r="V253" s="9" t="str">
        <f aca="false">IF(AND(C253&lt;&gt;"",IF(K253="","Chưa làm",K253)="Chờ duyệt"),MAX(V$5:V252)+1,"")</f>
        <v/>
      </c>
      <c r="W253" s="9" t="str">
        <f aca="false">IF(AND(C253&lt;&gt;"",IF(K253="","Chưa làm",K253)="Hoàn thành"),MAX(W$5:W252)+1,"")</f>
        <v/>
      </c>
      <c r="X253" s="9" t="str">
        <f aca="false">IF(AND(C253&lt;&gt;"",K253&lt;&gt;"Hoàn thành",N253="1. Làm ngay"),MAX(X$5:X252)+1,"")</f>
        <v/>
      </c>
      <c r="Y253" s="9" t="str">
        <f aca="false">IF(AND(C253&lt;&gt;"",K253&lt;&gt;"Hoàn thành",N253="2. Lên lịch"),MAX(Y$5:Y252)+1,"")</f>
        <v/>
      </c>
      <c r="Z253" s="9" t="str">
        <f aca="false">IF(AND(C253&lt;&gt;"",K253&lt;&gt;"Hoàn thành",N253="3. Giao lại"),MAX(Z$5:Z252)+1,"")</f>
        <v/>
      </c>
      <c r="AA253" s="9" t="str">
        <f aca="false">IF(AND(C253&lt;&gt;"",K253&lt;&gt;"Hoàn thành",N253="4. Để sau"),MAX(AA$5:AA252)+1,"")</f>
        <v/>
      </c>
      <c r="AB253" s="9" t="str">
        <f aca="false">IF(AND(C253&lt;&gt;"",J253&lt;&gt;"",J253&gt;=TUAN!$C$3,J253&lt;=TUAN!$C$3+6),MAX(AB$5:AB252)+1,"")</f>
        <v/>
      </c>
    </row>
    <row r="254" customFormat="false" ht="15" hidden="false" customHeight="false" outlineLevel="0" collapsed="false">
      <c r="A254" s="9" t="str">
        <f aca="false">IF(C254="","","CV"&amp;TEXT(ROW()-5,"000"))</f>
        <v/>
      </c>
      <c r="B254" s="10"/>
      <c r="C254" s="11"/>
      <c r="D254" s="12"/>
      <c r="E254" s="12"/>
      <c r="F254" s="12"/>
      <c r="G254" s="12"/>
      <c r="H254" s="12"/>
      <c r="I254" s="12"/>
      <c r="J254" s="10"/>
      <c r="K254" s="12"/>
      <c r="L254" s="10"/>
      <c r="M254" s="12"/>
      <c r="N254" s="9" t="str">
        <f aca="false">IF(C254="","",IF(AND(H254="Có",I254="Có"),"1. Làm ngay",IF(H254="Có","2. Lên lịch",IF(I254="Có","3. Giao lại","4. Để sau"))))</f>
        <v/>
      </c>
      <c r="O254" s="9" t="str">
        <f aca="true">IF(OR(C254="",J254="",K254="Hoàn thành"),"",J254-TODAY())</f>
        <v/>
      </c>
      <c r="P254" s="9" t="str">
        <f aca="true">IF(C254="","",IF(K254="Hoàn thành",IF(OR(L254="",J254=""),"Xong (thiếu ngày)",IF(L254&lt;=J254,"Xong đúng hạn","Xong trễ")),IF(J254="","Chưa có hạn",IF(J254&lt;TODAY(),"Quá hạn",IF(J254=TODAY(),"Đến hạn hôm nay",IF(J254-TODAY()&lt;=3,"Sắp đến hạn","Trong hạn"))))))</f>
        <v/>
      </c>
      <c r="Q254" s="9" t="str">
        <f aca="false">IF(OR(C254="",J254=""),"",WEEKNUM(J254,21))</f>
        <v/>
      </c>
      <c r="R254" s="2"/>
      <c r="S254" s="9" t="str">
        <f aca="true">IF(AND(C254&lt;&gt;"",K254&lt;&gt;"Hoàn thành",J254&lt;&gt;"",J254&lt;=TODAY()),MAX(S$5:S253)+1,"")</f>
        <v/>
      </c>
      <c r="T254" s="9" t="str">
        <f aca="false">IF(AND(C254&lt;&gt;"",IF(K254="","Chưa làm",K254)="Chưa làm"),MAX(T$5:T253)+1,"")</f>
        <v/>
      </c>
      <c r="U254" s="9" t="str">
        <f aca="false">IF(AND(C254&lt;&gt;"",IF(K254="","Chưa làm",K254)="Đang làm"),MAX(U$5:U253)+1,"")</f>
        <v/>
      </c>
      <c r="V254" s="9" t="str">
        <f aca="false">IF(AND(C254&lt;&gt;"",IF(K254="","Chưa làm",K254)="Chờ duyệt"),MAX(V$5:V253)+1,"")</f>
        <v/>
      </c>
      <c r="W254" s="9" t="str">
        <f aca="false">IF(AND(C254&lt;&gt;"",IF(K254="","Chưa làm",K254)="Hoàn thành"),MAX(W$5:W253)+1,"")</f>
        <v/>
      </c>
      <c r="X254" s="9" t="str">
        <f aca="false">IF(AND(C254&lt;&gt;"",K254&lt;&gt;"Hoàn thành",N254="1. Làm ngay"),MAX(X$5:X253)+1,"")</f>
        <v/>
      </c>
      <c r="Y254" s="9" t="str">
        <f aca="false">IF(AND(C254&lt;&gt;"",K254&lt;&gt;"Hoàn thành",N254="2. Lên lịch"),MAX(Y$5:Y253)+1,"")</f>
        <v/>
      </c>
      <c r="Z254" s="9" t="str">
        <f aca="false">IF(AND(C254&lt;&gt;"",K254&lt;&gt;"Hoàn thành",N254="3. Giao lại"),MAX(Z$5:Z253)+1,"")</f>
        <v/>
      </c>
      <c r="AA254" s="9" t="str">
        <f aca="false">IF(AND(C254&lt;&gt;"",K254&lt;&gt;"Hoàn thành",N254="4. Để sau"),MAX(AA$5:AA253)+1,"")</f>
        <v/>
      </c>
      <c r="AB254" s="9" t="str">
        <f aca="false">IF(AND(C254&lt;&gt;"",J254&lt;&gt;"",J254&gt;=TUAN!$C$3,J254&lt;=TUAN!$C$3+6),MAX(AB$5:AB253)+1,"")</f>
        <v/>
      </c>
    </row>
    <row r="255" customFormat="false" ht="15" hidden="false" customHeight="false" outlineLevel="0" collapsed="false">
      <c r="A255" s="9" t="str">
        <f aca="false">IF(C255="","","CV"&amp;TEXT(ROW()-5,"000"))</f>
        <v/>
      </c>
      <c r="B255" s="10"/>
      <c r="C255" s="11"/>
      <c r="D255" s="12"/>
      <c r="E255" s="12"/>
      <c r="F255" s="12"/>
      <c r="G255" s="12"/>
      <c r="H255" s="12"/>
      <c r="I255" s="12"/>
      <c r="J255" s="10"/>
      <c r="K255" s="12"/>
      <c r="L255" s="10"/>
      <c r="M255" s="12"/>
      <c r="N255" s="9" t="str">
        <f aca="false">IF(C255="","",IF(AND(H255="Có",I255="Có"),"1. Làm ngay",IF(H255="Có","2. Lên lịch",IF(I255="Có","3. Giao lại","4. Để sau"))))</f>
        <v/>
      </c>
      <c r="O255" s="9" t="str">
        <f aca="true">IF(OR(C255="",J255="",K255="Hoàn thành"),"",J255-TODAY())</f>
        <v/>
      </c>
      <c r="P255" s="9" t="str">
        <f aca="true">IF(C255="","",IF(K255="Hoàn thành",IF(OR(L255="",J255=""),"Xong (thiếu ngày)",IF(L255&lt;=J255,"Xong đúng hạn","Xong trễ")),IF(J255="","Chưa có hạn",IF(J255&lt;TODAY(),"Quá hạn",IF(J255=TODAY(),"Đến hạn hôm nay",IF(J255-TODAY()&lt;=3,"Sắp đến hạn","Trong hạn"))))))</f>
        <v/>
      </c>
      <c r="Q255" s="9" t="str">
        <f aca="false">IF(OR(C255="",J255=""),"",WEEKNUM(J255,21))</f>
        <v/>
      </c>
      <c r="R255" s="2"/>
      <c r="S255" s="9" t="str">
        <f aca="true">IF(AND(C255&lt;&gt;"",K255&lt;&gt;"Hoàn thành",J255&lt;&gt;"",J255&lt;=TODAY()),MAX(S$5:S254)+1,"")</f>
        <v/>
      </c>
      <c r="T255" s="9" t="str">
        <f aca="false">IF(AND(C255&lt;&gt;"",IF(K255="","Chưa làm",K255)="Chưa làm"),MAX(T$5:T254)+1,"")</f>
        <v/>
      </c>
      <c r="U255" s="9" t="str">
        <f aca="false">IF(AND(C255&lt;&gt;"",IF(K255="","Chưa làm",K255)="Đang làm"),MAX(U$5:U254)+1,"")</f>
        <v/>
      </c>
      <c r="V255" s="9" t="str">
        <f aca="false">IF(AND(C255&lt;&gt;"",IF(K255="","Chưa làm",K255)="Chờ duyệt"),MAX(V$5:V254)+1,"")</f>
        <v/>
      </c>
      <c r="W255" s="9" t="str">
        <f aca="false">IF(AND(C255&lt;&gt;"",IF(K255="","Chưa làm",K255)="Hoàn thành"),MAX(W$5:W254)+1,"")</f>
        <v/>
      </c>
      <c r="X255" s="9" t="str">
        <f aca="false">IF(AND(C255&lt;&gt;"",K255&lt;&gt;"Hoàn thành",N255="1. Làm ngay"),MAX(X$5:X254)+1,"")</f>
        <v/>
      </c>
      <c r="Y255" s="9" t="str">
        <f aca="false">IF(AND(C255&lt;&gt;"",K255&lt;&gt;"Hoàn thành",N255="2. Lên lịch"),MAX(Y$5:Y254)+1,"")</f>
        <v/>
      </c>
      <c r="Z255" s="9" t="str">
        <f aca="false">IF(AND(C255&lt;&gt;"",K255&lt;&gt;"Hoàn thành",N255="3. Giao lại"),MAX(Z$5:Z254)+1,"")</f>
        <v/>
      </c>
      <c r="AA255" s="9" t="str">
        <f aca="false">IF(AND(C255&lt;&gt;"",K255&lt;&gt;"Hoàn thành",N255="4. Để sau"),MAX(AA$5:AA254)+1,"")</f>
        <v/>
      </c>
      <c r="AB255" s="9" t="str">
        <f aca="false">IF(AND(C255&lt;&gt;"",J255&lt;&gt;"",J255&gt;=TUAN!$C$3,J255&lt;=TUAN!$C$3+6),MAX(AB$5:AB254)+1,"")</f>
        <v/>
      </c>
    </row>
    <row r="256" customFormat="false" ht="15" hidden="false" customHeight="false" outlineLevel="0" collapsed="false">
      <c r="A256" s="9" t="str">
        <f aca="false">IF(C256="","","CV"&amp;TEXT(ROW()-5,"000"))</f>
        <v/>
      </c>
      <c r="B256" s="10"/>
      <c r="C256" s="11"/>
      <c r="D256" s="12"/>
      <c r="E256" s="12"/>
      <c r="F256" s="12"/>
      <c r="G256" s="12"/>
      <c r="H256" s="12"/>
      <c r="I256" s="12"/>
      <c r="J256" s="10"/>
      <c r="K256" s="12"/>
      <c r="L256" s="10"/>
      <c r="M256" s="12"/>
      <c r="N256" s="9" t="str">
        <f aca="false">IF(C256="","",IF(AND(H256="Có",I256="Có"),"1. Làm ngay",IF(H256="Có","2. Lên lịch",IF(I256="Có","3. Giao lại","4. Để sau"))))</f>
        <v/>
      </c>
      <c r="O256" s="9" t="str">
        <f aca="true">IF(OR(C256="",J256="",K256="Hoàn thành"),"",J256-TODAY())</f>
        <v/>
      </c>
      <c r="P256" s="9" t="str">
        <f aca="true">IF(C256="","",IF(K256="Hoàn thành",IF(OR(L256="",J256=""),"Xong (thiếu ngày)",IF(L256&lt;=J256,"Xong đúng hạn","Xong trễ")),IF(J256="","Chưa có hạn",IF(J256&lt;TODAY(),"Quá hạn",IF(J256=TODAY(),"Đến hạn hôm nay",IF(J256-TODAY()&lt;=3,"Sắp đến hạn","Trong hạn"))))))</f>
        <v/>
      </c>
      <c r="Q256" s="9" t="str">
        <f aca="false">IF(OR(C256="",J256=""),"",WEEKNUM(J256,21))</f>
        <v/>
      </c>
      <c r="R256" s="2"/>
      <c r="S256" s="9" t="str">
        <f aca="true">IF(AND(C256&lt;&gt;"",K256&lt;&gt;"Hoàn thành",J256&lt;&gt;"",J256&lt;=TODAY()),MAX(S$5:S255)+1,"")</f>
        <v/>
      </c>
      <c r="T256" s="9" t="str">
        <f aca="false">IF(AND(C256&lt;&gt;"",IF(K256="","Chưa làm",K256)="Chưa làm"),MAX(T$5:T255)+1,"")</f>
        <v/>
      </c>
      <c r="U256" s="9" t="str">
        <f aca="false">IF(AND(C256&lt;&gt;"",IF(K256="","Chưa làm",K256)="Đang làm"),MAX(U$5:U255)+1,"")</f>
        <v/>
      </c>
      <c r="V256" s="9" t="str">
        <f aca="false">IF(AND(C256&lt;&gt;"",IF(K256="","Chưa làm",K256)="Chờ duyệt"),MAX(V$5:V255)+1,"")</f>
        <v/>
      </c>
      <c r="W256" s="9" t="str">
        <f aca="false">IF(AND(C256&lt;&gt;"",IF(K256="","Chưa làm",K256)="Hoàn thành"),MAX(W$5:W255)+1,"")</f>
        <v/>
      </c>
      <c r="X256" s="9" t="str">
        <f aca="false">IF(AND(C256&lt;&gt;"",K256&lt;&gt;"Hoàn thành",N256="1. Làm ngay"),MAX(X$5:X255)+1,"")</f>
        <v/>
      </c>
      <c r="Y256" s="9" t="str">
        <f aca="false">IF(AND(C256&lt;&gt;"",K256&lt;&gt;"Hoàn thành",N256="2. Lên lịch"),MAX(Y$5:Y255)+1,"")</f>
        <v/>
      </c>
      <c r="Z256" s="9" t="str">
        <f aca="false">IF(AND(C256&lt;&gt;"",K256&lt;&gt;"Hoàn thành",N256="3. Giao lại"),MAX(Z$5:Z255)+1,"")</f>
        <v/>
      </c>
      <c r="AA256" s="9" t="str">
        <f aca="false">IF(AND(C256&lt;&gt;"",K256&lt;&gt;"Hoàn thành",N256="4. Để sau"),MAX(AA$5:AA255)+1,"")</f>
        <v/>
      </c>
      <c r="AB256" s="9" t="str">
        <f aca="false">IF(AND(C256&lt;&gt;"",J256&lt;&gt;"",J256&gt;=TUAN!$C$3,J256&lt;=TUAN!$C$3+6),MAX(AB$5:AB255)+1,"")</f>
        <v/>
      </c>
    </row>
    <row r="257" customFormat="false" ht="15" hidden="false" customHeight="false" outlineLevel="0" collapsed="false">
      <c r="A257" s="9" t="str">
        <f aca="false">IF(C257="","","CV"&amp;TEXT(ROW()-5,"000"))</f>
        <v/>
      </c>
      <c r="B257" s="10"/>
      <c r="C257" s="11"/>
      <c r="D257" s="12"/>
      <c r="E257" s="12"/>
      <c r="F257" s="12"/>
      <c r="G257" s="12"/>
      <c r="H257" s="12"/>
      <c r="I257" s="12"/>
      <c r="J257" s="10"/>
      <c r="K257" s="12"/>
      <c r="L257" s="10"/>
      <c r="M257" s="12"/>
      <c r="N257" s="9" t="str">
        <f aca="false">IF(C257="","",IF(AND(H257="Có",I257="Có"),"1. Làm ngay",IF(H257="Có","2. Lên lịch",IF(I257="Có","3. Giao lại","4. Để sau"))))</f>
        <v/>
      </c>
      <c r="O257" s="9" t="str">
        <f aca="true">IF(OR(C257="",J257="",K257="Hoàn thành"),"",J257-TODAY())</f>
        <v/>
      </c>
      <c r="P257" s="9" t="str">
        <f aca="true">IF(C257="","",IF(K257="Hoàn thành",IF(OR(L257="",J257=""),"Xong (thiếu ngày)",IF(L257&lt;=J257,"Xong đúng hạn","Xong trễ")),IF(J257="","Chưa có hạn",IF(J257&lt;TODAY(),"Quá hạn",IF(J257=TODAY(),"Đến hạn hôm nay",IF(J257-TODAY()&lt;=3,"Sắp đến hạn","Trong hạn"))))))</f>
        <v/>
      </c>
      <c r="Q257" s="9" t="str">
        <f aca="false">IF(OR(C257="",J257=""),"",WEEKNUM(J257,21))</f>
        <v/>
      </c>
      <c r="R257" s="2"/>
      <c r="S257" s="9" t="str">
        <f aca="true">IF(AND(C257&lt;&gt;"",K257&lt;&gt;"Hoàn thành",J257&lt;&gt;"",J257&lt;=TODAY()),MAX(S$5:S256)+1,"")</f>
        <v/>
      </c>
      <c r="T257" s="9" t="str">
        <f aca="false">IF(AND(C257&lt;&gt;"",IF(K257="","Chưa làm",K257)="Chưa làm"),MAX(T$5:T256)+1,"")</f>
        <v/>
      </c>
      <c r="U257" s="9" t="str">
        <f aca="false">IF(AND(C257&lt;&gt;"",IF(K257="","Chưa làm",K257)="Đang làm"),MAX(U$5:U256)+1,"")</f>
        <v/>
      </c>
      <c r="V257" s="9" t="str">
        <f aca="false">IF(AND(C257&lt;&gt;"",IF(K257="","Chưa làm",K257)="Chờ duyệt"),MAX(V$5:V256)+1,"")</f>
        <v/>
      </c>
      <c r="W257" s="9" t="str">
        <f aca="false">IF(AND(C257&lt;&gt;"",IF(K257="","Chưa làm",K257)="Hoàn thành"),MAX(W$5:W256)+1,"")</f>
        <v/>
      </c>
      <c r="X257" s="9" t="str">
        <f aca="false">IF(AND(C257&lt;&gt;"",K257&lt;&gt;"Hoàn thành",N257="1. Làm ngay"),MAX(X$5:X256)+1,"")</f>
        <v/>
      </c>
      <c r="Y257" s="9" t="str">
        <f aca="false">IF(AND(C257&lt;&gt;"",K257&lt;&gt;"Hoàn thành",N257="2. Lên lịch"),MAX(Y$5:Y256)+1,"")</f>
        <v/>
      </c>
      <c r="Z257" s="9" t="str">
        <f aca="false">IF(AND(C257&lt;&gt;"",K257&lt;&gt;"Hoàn thành",N257="3. Giao lại"),MAX(Z$5:Z256)+1,"")</f>
        <v/>
      </c>
      <c r="AA257" s="9" t="str">
        <f aca="false">IF(AND(C257&lt;&gt;"",K257&lt;&gt;"Hoàn thành",N257="4. Để sau"),MAX(AA$5:AA256)+1,"")</f>
        <v/>
      </c>
      <c r="AB257" s="9" t="str">
        <f aca="false">IF(AND(C257&lt;&gt;"",J257&lt;&gt;"",J257&gt;=TUAN!$C$3,J257&lt;=TUAN!$C$3+6),MAX(AB$5:AB256)+1,"")</f>
        <v/>
      </c>
    </row>
    <row r="258" customFormat="false" ht="15" hidden="false" customHeight="false" outlineLevel="0" collapsed="false">
      <c r="A258" s="9" t="str">
        <f aca="false">IF(C258="","","CV"&amp;TEXT(ROW()-5,"000"))</f>
        <v/>
      </c>
      <c r="B258" s="10"/>
      <c r="C258" s="11"/>
      <c r="D258" s="12"/>
      <c r="E258" s="12"/>
      <c r="F258" s="12"/>
      <c r="G258" s="12"/>
      <c r="H258" s="12"/>
      <c r="I258" s="12"/>
      <c r="J258" s="10"/>
      <c r="K258" s="12"/>
      <c r="L258" s="10"/>
      <c r="M258" s="12"/>
      <c r="N258" s="9" t="str">
        <f aca="false">IF(C258="","",IF(AND(H258="Có",I258="Có"),"1. Làm ngay",IF(H258="Có","2. Lên lịch",IF(I258="Có","3. Giao lại","4. Để sau"))))</f>
        <v/>
      </c>
      <c r="O258" s="9" t="str">
        <f aca="true">IF(OR(C258="",J258="",K258="Hoàn thành"),"",J258-TODAY())</f>
        <v/>
      </c>
      <c r="P258" s="9" t="str">
        <f aca="true">IF(C258="","",IF(K258="Hoàn thành",IF(OR(L258="",J258=""),"Xong (thiếu ngày)",IF(L258&lt;=J258,"Xong đúng hạn","Xong trễ")),IF(J258="","Chưa có hạn",IF(J258&lt;TODAY(),"Quá hạn",IF(J258=TODAY(),"Đến hạn hôm nay",IF(J258-TODAY()&lt;=3,"Sắp đến hạn","Trong hạn"))))))</f>
        <v/>
      </c>
      <c r="Q258" s="9" t="str">
        <f aca="false">IF(OR(C258="",J258=""),"",WEEKNUM(J258,21))</f>
        <v/>
      </c>
      <c r="R258" s="2"/>
      <c r="S258" s="9" t="str">
        <f aca="true">IF(AND(C258&lt;&gt;"",K258&lt;&gt;"Hoàn thành",J258&lt;&gt;"",J258&lt;=TODAY()),MAX(S$5:S257)+1,"")</f>
        <v/>
      </c>
      <c r="T258" s="9" t="str">
        <f aca="false">IF(AND(C258&lt;&gt;"",IF(K258="","Chưa làm",K258)="Chưa làm"),MAX(T$5:T257)+1,"")</f>
        <v/>
      </c>
      <c r="U258" s="9" t="str">
        <f aca="false">IF(AND(C258&lt;&gt;"",IF(K258="","Chưa làm",K258)="Đang làm"),MAX(U$5:U257)+1,"")</f>
        <v/>
      </c>
      <c r="V258" s="9" t="str">
        <f aca="false">IF(AND(C258&lt;&gt;"",IF(K258="","Chưa làm",K258)="Chờ duyệt"),MAX(V$5:V257)+1,"")</f>
        <v/>
      </c>
      <c r="W258" s="9" t="str">
        <f aca="false">IF(AND(C258&lt;&gt;"",IF(K258="","Chưa làm",K258)="Hoàn thành"),MAX(W$5:W257)+1,"")</f>
        <v/>
      </c>
      <c r="X258" s="9" t="str">
        <f aca="false">IF(AND(C258&lt;&gt;"",K258&lt;&gt;"Hoàn thành",N258="1. Làm ngay"),MAX(X$5:X257)+1,"")</f>
        <v/>
      </c>
      <c r="Y258" s="9" t="str">
        <f aca="false">IF(AND(C258&lt;&gt;"",K258&lt;&gt;"Hoàn thành",N258="2. Lên lịch"),MAX(Y$5:Y257)+1,"")</f>
        <v/>
      </c>
      <c r="Z258" s="9" t="str">
        <f aca="false">IF(AND(C258&lt;&gt;"",K258&lt;&gt;"Hoàn thành",N258="3. Giao lại"),MAX(Z$5:Z257)+1,"")</f>
        <v/>
      </c>
      <c r="AA258" s="9" t="str">
        <f aca="false">IF(AND(C258&lt;&gt;"",K258&lt;&gt;"Hoàn thành",N258="4. Để sau"),MAX(AA$5:AA257)+1,"")</f>
        <v/>
      </c>
      <c r="AB258" s="9" t="str">
        <f aca="false">IF(AND(C258&lt;&gt;"",J258&lt;&gt;"",J258&gt;=TUAN!$C$3,J258&lt;=TUAN!$C$3+6),MAX(AB$5:AB257)+1,"")</f>
        <v/>
      </c>
    </row>
    <row r="259" customFormat="false" ht="15" hidden="false" customHeight="false" outlineLevel="0" collapsed="false">
      <c r="A259" s="9" t="str">
        <f aca="false">IF(C259="","","CV"&amp;TEXT(ROW()-5,"000"))</f>
        <v/>
      </c>
      <c r="B259" s="10"/>
      <c r="C259" s="11"/>
      <c r="D259" s="12"/>
      <c r="E259" s="12"/>
      <c r="F259" s="12"/>
      <c r="G259" s="12"/>
      <c r="H259" s="12"/>
      <c r="I259" s="12"/>
      <c r="J259" s="10"/>
      <c r="K259" s="12"/>
      <c r="L259" s="10"/>
      <c r="M259" s="12"/>
      <c r="N259" s="9" t="str">
        <f aca="false">IF(C259="","",IF(AND(H259="Có",I259="Có"),"1. Làm ngay",IF(H259="Có","2. Lên lịch",IF(I259="Có","3. Giao lại","4. Để sau"))))</f>
        <v/>
      </c>
      <c r="O259" s="9" t="str">
        <f aca="true">IF(OR(C259="",J259="",K259="Hoàn thành"),"",J259-TODAY())</f>
        <v/>
      </c>
      <c r="P259" s="9" t="str">
        <f aca="true">IF(C259="","",IF(K259="Hoàn thành",IF(OR(L259="",J259=""),"Xong (thiếu ngày)",IF(L259&lt;=J259,"Xong đúng hạn","Xong trễ")),IF(J259="","Chưa có hạn",IF(J259&lt;TODAY(),"Quá hạn",IF(J259=TODAY(),"Đến hạn hôm nay",IF(J259-TODAY()&lt;=3,"Sắp đến hạn","Trong hạn"))))))</f>
        <v/>
      </c>
      <c r="Q259" s="9" t="str">
        <f aca="false">IF(OR(C259="",J259=""),"",WEEKNUM(J259,21))</f>
        <v/>
      </c>
      <c r="R259" s="2"/>
      <c r="S259" s="9" t="str">
        <f aca="true">IF(AND(C259&lt;&gt;"",K259&lt;&gt;"Hoàn thành",J259&lt;&gt;"",J259&lt;=TODAY()),MAX(S$5:S258)+1,"")</f>
        <v/>
      </c>
      <c r="T259" s="9" t="str">
        <f aca="false">IF(AND(C259&lt;&gt;"",IF(K259="","Chưa làm",K259)="Chưa làm"),MAX(T$5:T258)+1,"")</f>
        <v/>
      </c>
      <c r="U259" s="9" t="str">
        <f aca="false">IF(AND(C259&lt;&gt;"",IF(K259="","Chưa làm",K259)="Đang làm"),MAX(U$5:U258)+1,"")</f>
        <v/>
      </c>
      <c r="V259" s="9" t="str">
        <f aca="false">IF(AND(C259&lt;&gt;"",IF(K259="","Chưa làm",K259)="Chờ duyệt"),MAX(V$5:V258)+1,"")</f>
        <v/>
      </c>
      <c r="W259" s="9" t="str">
        <f aca="false">IF(AND(C259&lt;&gt;"",IF(K259="","Chưa làm",K259)="Hoàn thành"),MAX(W$5:W258)+1,"")</f>
        <v/>
      </c>
      <c r="X259" s="9" t="str">
        <f aca="false">IF(AND(C259&lt;&gt;"",K259&lt;&gt;"Hoàn thành",N259="1. Làm ngay"),MAX(X$5:X258)+1,"")</f>
        <v/>
      </c>
      <c r="Y259" s="9" t="str">
        <f aca="false">IF(AND(C259&lt;&gt;"",K259&lt;&gt;"Hoàn thành",N259="2. Lên lịch"),MAX(Y$5:Y258)+1,"")</f>
        <v/>
      </c>
      <c r="Z259" s="9" t="str">
        <f aca="false">IF(AND(C259&lt;&gt;"",K259&lt;&gt;"Hoàn thành",N259="3. Giao lại"),MAX(Z$5:Z258)+1,"")</f>
        <v/>
      </c>
      <c r="AA259" s="9" t="str">
        <f aca="false">IF(AND(C259&lt;&gt;"",K259&lt;&gt;"Hoàn thành",N259="4. Để sau"),MAX(AA$5:AA258)+1,"")</f>
        <v/>
      </c>
      <c r="AB259" s="9" t="str">
        <f aca="false">IF(AND(C259&lt;&gt;"",J259&lt;&gt;"",J259&gt;=TUAN!$C$3,J259&lt;=TUAN!$C$3+6),MAX(AB$5:AB258)+1,"")</f>
        <v/>
      </c>
    </row>
    <row r="260" customFormat="false" ht="15" hidden="false" customHeight="false" outlineLevel="0" collapsed="false">
      <c r="A260" s="9" t="str">
        <f aca="false">IF(C260="","","CV"&amp;TEXT(ROW()-5,"000"))</f>
        <v/>
      </c>
      <c r="B260" s="10"/>
      <c r="C260" s="11"/>
      <c r="D260" s="12"/>
      <c r="E260" s="12"/>
      <c r="F260" s="12"/>
      <c r="G260" s="12"/>
      <c r="H260" s="12"/>
      <c r="I260" s="12"/>
      <c r="J260" s="10"/>
      <c r="K260" s="12"/>
      <c r="L260" s="10"/>
      <c r="M260" s="12"/>
      <c r="N260" s="9" t="str">
        <f aca="false">IF(C260="","",IF(AND(H260="Có",I260="Có"),"1. Làm ngay",IF(H260="Có","2. Lên lịch",IF(I260="Có","3. Giao lại","4. Để sau"))))</f>
        <v/>
      </c>
      <c r="O260" s="9" t="str">
        <f aca="true">IF(OR(C260="",J260="",K260="Hoàn thành"),"",J260-TODAY())</f>
        <v/>
      </c>
      <c r="P260" s="9" t="str">
        <f aca="true">IF(C260="","",IF(K260="Hoàn thành",IF(OR(L260="",J260=""),"Xong (thiếu ngày)",IF(L260&lt;=J260,"Xong đúng hạn","Xong trễ")),IF(J260="","Chưa có hạn",IF(J260&lt;TODAY(),"Quá hạn",IF(J260=TODAY(),"Đến hạn hôm nay",IF(J260-TODAY()&lt;=3,"Sắp đến hạn","Trong hạn"))))))</f>
        <v/>
      </c>
      <c r="Q260" s="9" t="str">
        <f aca="false">IF(OR(C260="",J260=""),"",WEEKNUM(J260,21))</f>
        <v/>
      </c>
      <c r="R260" s="2"/>
      <c r="S260" s="9" t="str">
        <f aca="true">IF(AND(C260&lt;&gt;"",K260&lt;&gt;"Hoàn thành",J260&lt;&gt;"",J260&lt;=TODAY()),MAX(S$5:S259)+1,"")</f>
        <v/>
      </c>
      <c r="T260" s="9" t="str">
        <f aca="false">IF(AND(C260&lt;&gt;"",IF(K260="","Chưa làm",K260)="Chưa làm"),MAX(T$5:T259)+1,"")</f>
        <v/>
      </c>
      <c r="U260" s="9" t="str">
        <f aca="false">IF(AND(C260&lt;&gt;"",IF(K260="","Chưa làm",K260)="Đang làm"),MAX(U$5:U259)+1,"")</f>
        <v/>
      </c>
      <c r="V260" s="9" t="str">
        <f aca="false">IF(AND(C260&lt;&gt;"",IF(K260="","Chưa làm",K260)="Chờ duyệt"),MAX(V$5:V259)+1,"")</f>
        <v/>
      </c>
      <c r="W260" s="9" t="str">
        <f aca="false">IF(AND(C260&lt;&gt;"",IF(K260="","Chưa làm",K260)="Hoàn thành"),MAX(W$5:W259)+1,"")</f>
        <v/>
      </c>
      <c r="X260" s="9" t="str">
        <f aca="false">IF(AND(C260&lt;&gt;"",K260&lt;&gt;"Hoàn thành",N260="1. Làm ngay"),MAX(X$5:X259)+1,"")</f>
        <v/>
      </c>
      <c r="Y260" s="9" t="str">
        <f aca="false">IF(AND(C260&lt;&gt;"",K260&lt;&gt;"Hoàn thành",N260="2. Lên lịch"),MAX(Y$5:Y259)+1,"")</f>
        <v/>
      </c>
      <c r="Z260" s="9" t="str">
        <f aca="false">IF(AND(C260&lt;&gt;"",K260&lt;&gt;"Hoàn thành",N260="3. Giao lại"),MAX(Z$5:Z259)+1,"")</f>
        <v/>
      </c>
      <c r="AA260" s="9" t="str">
        <f aca="false">IF(AND(C260&lt;&gt;"",K260&lt;&gt;"Hoàn thành",N260="4. Để sau"),MAX(AA$5:AA259)+1,"")</f>
        <v/>
      </c>
      <c r="AB260" s="9" t="str">
        <f aca="false">IF(AND(C260&lt;&gt;"",J260&lt;&gt;"",J260&gt;=TUAN!$C$3,J260&lt;=TUAN!$C$3+6),MAX(AB$5:AB259)+1,"")</f>
        <v/>
      </c>
    </row>
    <row r="261" customFormat="false" ht="15" hidden="false" customHeight="false" outlineLevel="0" collapsed="false">
      <c r="A261" s="9" t="str">
        <f aca="false">IF(C261="","","CV"&amp;TEXT(ROW()-5,"000"))</f>
        <v/>
      </c>
      <c r="B261" s="10"/>
      <c r="C261" s="11"/>
      <c r="D261" s="12"/>
      <c r="E261" s="12"/>
      <c r="F261" s="12"/>
      <c r="G261" s="12"/>
      <c r="H261" s="12"/>
      <c r="I261" s="12"/>
      <c r="J261" s="10"/>
      <c r="K261" s="12"/>
      <c r="L261" s="10"/>
      <c r="M261" s="12"/>
      <c r="N261" s="9" t="str">
        <f aca="false">IF(C261="","",IF(AND(H261="Có",I261="Có"),"1. Làm ngay",IF(H261="Có","2. Lên lịch",IF(I261="Có","3. Giao lại","4. Để sau"))))</f>
        <v/>
      </c>
      <c r="O261" s="9" t="str">
        <f aca="true">IF(OR(C261="",J261="",K261="Hoàn thành"),"",J261-TODAY())</f>
        <v/>
      </c>
      <c r="P261" s="9" t="str">
        <f aca="true">IF(C261="","",IF(K261="Hoàn thành",IF(OR(L261="",J261=""),"Xong (thiếu ngày)",IF(L261&lt;=J261,"Xong đúng hạn","Xong trễ")),IF(J261="","Chưa có hạn",IF(J261&lt;TODAY(),"Quá hạn",IF(J261=TODAY(),"Đến hạn hôm nay",IF(J261-TODAY()&lt;=3,"Sắp đến hạn","Trong hạn"))))))</f>
        <v/>
      </c>
      <c r="Q261" s="9" t="str">
        <f aca="false">IF(OR(C261="",J261=""),"",WEEKNUM(J261,21))</f>
        <v/>
      </c>
      <c r="R261" s="2"/>
      <c r="S261" s="9" t="str">
        <f aca="true">IF(AND(C261&lt;&gt;"",K261&lt;&gt;"Hoàn thành",J261&lt;&gt;"",J261&lt;=TODAY()),MAX(S$5:S260)+1,"")</f>
        <v/>
      </c>
      <c r="T261" s="9" t="str">
        <f aca="false">IF(AND(C261&lt;&gt;"",IF(K261="","Chưa làm",K261)="Chưa làm"),MAX(T$5:T260)+1,"")</f>
        <v/>
      </c>
      <c r="U261" s="9" t="str">
        <f aca="false">IF(AND(C261&lt;&gt;"",IF(K261="","Chưa làm",K261)="Đang làm"),MAX(U$5:U260)+1,"")</f>
        <v/>
      </c>
      <c r="V261" s="9" t="str">
        <f aca="false">IF(AND(C261&lt;&gt;"",IF(K261="","Chưa làm",K261)="Chờ duyệt"),MAX(V$5:V260)+1,"")</f>
        <v/>
      </c>
      <c r="W261" s="9" t="str">
        <f aca="false">IF(AND(C261&lt;&gt;"",IF(K261="","Chưa làm",K261)="Hoàn thành"),MAX(W$5:W260)+1,"")</f>
        <v/>
      </c>
      <c r="X261" s="9" t="str">
        <f aca="false">IF(AND(C261&lt;&gt;"",K261&lt;&gt;"Hoàn thành",N261="1. Làm ngay"),MAX(X$5:X260)+1,"")</f>
        <v/>
      </c>
      <c r="Y261" s="9" t="str">
        <f aca="false">IF(AND(C261&lt;&gt;"",K261&lt;&gt;"Hoàn thành",N261="2. Lên lịch"),MAX(Y$5:Y260)+1,"")</f>
        <v/>
      </c>
      <c r="Z261" s="9" t="str">
        <f aca="false">IF(AND(C261&lt;&gt;"",K261&lt;&gt;"Hoàn thành",N261="3. Giao lại"),MAX(Z$5:Z260)+1,"")</f>
        <v/>
      </c>
      <c r="AA261" s="9" t="str">
        <f aca="false">IF(AND(C261&lt;&gt;"",K261&lt;&gt;"Hoàn thành",N261="4. Để sau"),MAX(AA$5:AA260)+1,"")</f>
        <v/>
      </c>
      <c r="AB261" s="9" t="str">
        <f aca="false">IF(AND(C261&lt;&gt;"",J261&lt;&gt;"",J261&gt;=TUAN!$C$3,J261&lt;=TUAN!$C$3+6),MAX(AB$5:AB260)+1,"")</f>
        <v/>
      </c>
    </row>
    <row r="262" customFormat="false" ht="15" hidden="false" customHeight="false" outlineLevel="0" collapsed="false">
      <c r="A262" s="9" t="str">
        <f aca="false">IF(C262="","","CV"&amp;TEXT(ROW()-5,"000"))</f>
        <v/>
      </c>
      <c r="B262" s="10"/>
      <c r="C262" s="11"/>
      <c r="D262" s="12"/>
      <c r="E262" s="12"/>
      <c r="F262" s="12"/>
      <c r="G262" s="12"/>
      <c r="H262" s="12"/>
      <c r="I262" s="12"/>
      <c r="J262" s="10"/>
      <c r="K262" s="12"/>
      <c r="L262" s="10"/>
      <c r="M262" s="12"/>
      <c r="N262" s="9" t="str">
        <f aca="false">IF(C262="","",IF(AND(H262="Có",I262="Có"),"1. Làm ngay",IF(H262="Có","2. Lên lịch",IF(I262="Có","3. Giao lại","4. Để sau"))))</f>
        <v/>
      </c>
      <c r="O262" s="9" t="str">
        <f aca="true">IF(OR(C262="",J262="",K262="Hoàn thành"),"",J262-TODAY())</f>
        <v/>
      </c>
      <c r="P262" s="9" t="str">
        <f aca="true">IF(C262="","",IF(K262="Hoàn thành",IF(OR(L262="",J262=""),"Xong (thiếu ngày)",IF(L262&lt;=J262,"Xong đúng hạn","Xong trễ")),IF(J262="","Chưa có hạn",IF(J262&lt;TODAY(),"Quá hạn",IF(J262=TODAY(),"Đến hạn hôm nay",IF(J262-TODAY()&lt;=3,"Sắp đến hạn","Trong hạn"))))))</f>
        <v/>
      </c>
      <c r="Q262" s="9" t="str">
        <f aca="false">IF(OR(C262="",J262=""),"",WEEKNUM(J262,21))</f>
        <v/>
      </c>
      <c r="R262" s="2"/>
      <c r="S262" s="9" t="str">
        <f aca="true">IF(AND(C262&lt;&gt;"",K262&lt;&gt;"Hoàn thành",J262&lt;&gt;"",J262&lt;=TODAY()),MAX(S$5:S261)+1,"")</f>
        <v/>
      </c>
      <c r="T262" s="9" t="str">
        <f aca="false">IF(AND(C262&lt;&gt;"",IF(K262="","Chưa làm",K262)="Chưa làm"),MAX(T$5:T261)+1,"")</f>
        <v/>
      </c>
      <c r="U262" s="9" t="str">
        <f aca="false">IF(AND(C262&lt;&gt;"",IF(K262="","Chưa làm",K262)="Đang làm"),MAX(U$5:U261)+1,"")</f>
        <v/>
      </c>
      <c r="V262" s="9" t="str">
        <f aca="false">IF(AND(C262&lt;&gt;"",IF(K262="","Chưa làm",K262)="Chờ duyệt"),MAX(V$5:V261)+1,"")</f>
        <v/>
      </c>
      <c r="W262" s="9" t="str">
        <f aca="false">IF(AND(C262&lt;&gt;"",IF(K262="","Chưa làm",K262)="Hoàn thành"),MAX(W$5:W261)+1,"")</f>
        <v/>
      </c>
      <c r="X262" s="9" t="str">
        <f aca="false">IF(AND(C262&lt;&gt;"",K262&lt;&gt;"Hoàn thành",N262="1. Làm ngay"),MAX(X$5:X261)+1,"")</f>
        <v/>
      </c>
      <c r="Y262" s="9" t="str">
        <f aca="false">IF(AND(C262&lt;&gt;"",K262&lt;&gt;"Hoàn thành",N262="2. Lên lịch"),MAX(Y$5:Y261)+1,"")</f>
        <v/>
      </c>
      <c r="Z262" s="9" t="str">
        <f aca="false">IF(AND(C262&lt;&gt;"",K262&lt;&gt;"Hoàn thành",N262="3. Giao lại"),MAX(Z$5:Z261)+1,"")</f>
        <v/>
      </c>
      <c r="AA262" s="9" t="str">
        <f aca="false">IF(AND(C262&lt;&gt;"",K262&lt;&gt;"Hoàn thành",N262="4. Để sau"),MAX(AA$5:AA261)+1,"")</f>
        <v/>
      </c>
      <c r="AB262" s="9" t="str">
        <f aca="false">IF(AND(C262&lt;&gt;"",J262&lt;&gt;"",J262&gt;=TUAN!$C$3,J262&lt;=TUAN!$C$3+6),MAX(AB$5:AB261)+1,"")</f>
        <v/>
      </c>
    </row>
    <row r="263" customFormat="false" ht="15" hidden="false" customHeight="false" outlineLevel="0" collapsed="false">
      <c r="A263" s="9" t="str">
        <f aca="false">IF(C263="","","CV"&amp;TEXT(ROW()-5,"000"))</f>
        <v/>
      </c>
      <c r="B263" s="10"/>
      <c r="C263" s="11"/>
      <c r="D263" s="12"/>
      <c r="E263" s="12"/>
      <c r="F263" s="12"/>
      <c r="G263" s="12"/>
      <c r="H263" s="12"/>
      <c r="I263" s="12"/>
      <c r="J263" s="10"/>
      <c r="K263" s="12"/>
      <c r="L263" s="10"/>
      <c r="M263" s="12"/>
      <c r="N263" s="9" t="str">
        <f aca="false">IF(C263="","",IF(AND(H263="Có",I263="Có"),"1. Làm ngay",IF(H263="Có","2. Lên lịch",IF(I263="Có","3. Giao lại","4. Để sau"))))</f>
        <v/>
      </c>
      <c r="O263" s="9" t="str">
        <f aca="true">IF(OR(C263="",J263="",K263="Hoàn thành"),"",J263-TODAY())</f>
        <v/>
      </c>
      <c r="P263" s="9" t="str">
        <f aca="true">IF(C263="","",IF(K263="Hoàn thành",IF(OR(L263="",J263=""),"Xong (thiếu ngày)",IF(L263&lt;=J263,"Xong đúng hạn","Xong trễ")),IF(J263="","Chưa có hạn",IF(J263&lt;TODAY(),"Quá hạn",IF(J263=TODAY(),"Đến hạn hôm nay",IF(J263-TODAY()&lt;=3,"Sắp đến hạn","Trong hạn"))))))</f>
        <v/>
      </c>
      <c r="Q263" s="9" t="str">
        <f aca="false">IF(OR(C263="",J263=""),"",WEEKNUM(J263,21))</f>
        <v/>
      </c>
      <c r="R263" s="2"/>
      <c r="S263" s="9" t="str">
        <f aca="true">IF(AND(C263&lt;&gt;"",K263&lt;&gt;"Hoàn thành",J263&lt;&gt;"",J263&lt;=TODAY()),MAX(S$5:S262)+1,"")</f>
        <v/>
      </c>
      <c r="T263" s="9" t="str">
        <f aca="false">IF(AND(C263&lt;&gt;"",IF(K263="","Chưa làm",K263)="Chưa làm"),MAX(T$5:T262)+1,"")</f>
        <v/>
      </c>
      <c r="U263" s="9" t="str">
        <f aca="false">IF(AND(C263&lt;&gt;"",IF(K263="","Chưa làm",K263)="Đang làm"),MAX(U$5:U262)+1,"")</f>
        <v/>
      </c>
      <c r="V263" s="9" t="str">
        <f aca="false">IF(AND(C263&lt;&gt;"",IF(K263="","Chưa làm",K263)="Chờ duyệt"),MAX(V$5:V262)+1,"")</f>
        <v/>
      </c>
      <c r="W263" s="9" t="str">
        <f aca="false">IF(AND(C263&lt;&gt;"",IF(K263="","Chưa làm",K263)="Hoàn thành"),MAX(W$5:W262)+1,"")</f>
        <v/>
      </c>
      <c r="X263" s="9" t="str">
        <f aca="false">IF(AND(C263&lt;&gt;"",K263&lt;&gt;"Hoàn thành",N263="1. Làm ngay"),MAX(X$5:X262)+1,"")</f>
        <v/>
      </c>
      <c r="Y263" s="9" t="str">
        <f aca="false">IF(AND(C263&lt;&gt;"",K263&lt;&gt;"Hoàn thành",N263="2. Lên lịch"),MAX(Y$5:Y262)+1,"")</f>
        <v/>
      </c>
      <c r="Z263" s="9" t="str">
        <f aca="false">IF(AND(C263&lt;&gt;"",K263&lt;&gt;"Hoàn thành",N263="3. Giao lại"),MAX(Z$5:Z262)+1,"")</f>
        <v/>
      </c>
      <c r="AA263" s="9" t="str">
        <f aca="false">IF(AND(C263&lt;&gt;"",K263&lt;&gt;"Hoàn thành",N263="4. Để sau"),MAX(AA$5:AA262)+1,"")</f>
        <v/>
      </c>
      <c r="AB263" s="9" t="str">
        <f aca="false">IF(AND(C263&lt;&gt;"",J263&lt;&gt;"",J263&gt;=TUAN!$C$3,J263&lt;=TUAN!$C$3+6),MAX(AB$5:AB262)+1,"")</f>
        <v/>
      </c>
    </row>
    <row r="264" customFormat="false" ht="15" hidden="false" customHeight="false" outlineLevel="0" collapsed="false">
      <c r="A264" s="9" t="str">
        <f aca="false">IF(C264="","","CV"&amp;TEXT(ROW()-5,"000"))</f>
        <v/>
      </c>
      <c r="B264" s="10"/>
      <c r="C264" s="11"/>
      <c r="D264" s="12"/>
      <c r="E264" s="12"/>
      <c r="F264" s="12"/>
      <c r="G264" s="12"/>
      <c r="H264" s="12"/>
      <c r="I264" s="12"/>
      <c r="J264" s="10"/>
      <c r="K264" s="12"/>
      <c r="L264" s="10"/>
      <c r="M264" s="12"/>
      <c r="N264" s="9" t="str">
        <f aca="false">IF(C264="","",IF(AND(H264="Có",I264="Có"),"1. Làm ngay",IF(H264="Có","2. Lên lịch",IF(I264="Có","3. Giao lại","4. Để sau"))))</f>
        <v/>
      </c>
      <c r="O264" s="9" t="str">
        <f aca="true">IF(OR(C264="",J264="",K264="Hoàn thành"),"",J264-TODAY())</f>
        <v/>
      </c>
      <c r="P264" s="9" t="str">
        <f aca="true">IF(C264="","",IF(K264="Hoàn thành",IF(OR(L264="",J264=""),"Xong (thiếu ngày)",IF(L264&lt;=J264,"Xong đúng hạn","Xong trễ")),IF(J264="","Chưa có hạn",IF(J264&lt;TODAY(),"Quá hạn",IF(J264=TODAY(),"Đến hạn hôm nay",IF(J264-TODAY()&lt;=3,"Sắp đến hạn","Trong hạn"))))))</f>
        <v/>
      </c>
      <c r="Q264" s="9" t="str">
        <f aca="false">IF(OR(C264="",J264=""),"",WEEKNUM(J264,21))</f>
        <v/>
      </c>
      <c r="R264" s="2"/>
      <c r="S264" s="9" t="str">
        <f aca="true">IF(AND(C264&lt;&gt;"",K264&lt;&gt;"Hoàn thành",J264&lt;&gt;"",J264&lt;=TODAY()),MAX(S$5:S263)+1,"")</f>
        <v/>
      </c>
      <c r="T264" s="9" t="str">
        <f aca="false">IF(AND(C264&lt;&gt;"",IF(K264="","Chưa làm",K264)="Chưa làm"),MAX(T$5:T263)+1,"")</f>
        <v/>
      </c>
      <c r="U264" s="9" t="str">
        <f aca="false">IF(AND(C264&lt;&gt;"",IF(K264="","Chưa làm",K264)="Đang làm"),MAX(U$5:U263)+1,"")</f>
        <v/>
      </c>
      <c r="V264" s="9" t="str">
        <f aca="false">IF(AND(C264&lt;&gt;"",IF(K264="","Chưa làm",K264)="Chờ duyệt"),MAX(V$5:V263)+1,"")</f>
        <v/>
      </c>
      <c r="W264" s="9" t="str">
        <f aca="false">IF(AND(C264&lt;&gt;"",IF(K264="","Chưa làm",K264)="Hoàn thành"),MAX(W$5:W263)+1,"")</f>
        <v/>
      </c>
      <c r="X264" s="9" t="str">
        <f aca="false">IF(AND(C264&lt;&gt;"",K264&lt;&gt;"Hoàn thành",N264="1. Làm ngay"),MAX(X$5:X263)+1,"")</f>
        <v/>
      </c>
      <c r="Y264" s="9" t="str">
        <f aca="false">IF(AND(C264&lt;&gt;"",K264&lt;&gt;"Hoàn thành",N264="2. Lên lịch"),MAX(Y$5:Y263)+1,"")</f>
        <v/>
      </c>
      <c r="Z264" s="9" t="str">
        <f aca="false">IF(AND(C264&lt;&gt;"",K264&lt;&gt;"Hoàn thành",N264="3. Giao lại"),MAX(Z$5:Z263)+1,"")</f>
        <v/>
      </c>
      <c r="AA264" s="9" t="str">
        <f aca="false">IF(AND(C264&lt;&gt;"",K264&lt;&gt;"Hoàn thành",N264="4. Để sau"),MAX(AA$5:AA263)+1,"")</f>
        <v/>
      </c>
      <c r="AB264" s="9" t="str">
        <f aca="false">IF(AND(C264&lt;&gt;"",J264&lt;&gt;"",J264&gt;=TUAN!$C$3,J264&lt;=TUAN!$C$3+6),MAX(AB$5:AB263)+1,"")</f>
        <v/>
      </c>
    </row>
    <row r="265" customFormat="false" ht="15" hidden="false" customHeight="false" outlineLevel="0" collapsed="false">
      <c r="A265" s="9" t="str">
        <f aca="false">IF(C265="","","CV"&amp;TEXT(ROW()-5,"000"))</f>
        <v/>
      </c>
      <c r="B265" s="10"/>
      <c r="C265" s="11"/>
      <c r="D265" s="12"/>
      <c r="E265" s="12"/>
      <c r="F265" s="12"/>
      <c r="G265" s="12"/>
      <c r="H265" s="12"/>
      <c r="I265" s="12"/>
      <c r="J265" s="10"/>
      <c r="K265" s="12"/>
      <c r="L265" s="10"/>
      <c r="M265" s="12"/>
      <c r="N265" s="9" t="str">
        <f aca="false">IF(C265="","",IF(AND(H265="Có",I265="Có"),"1. Làm ngay",IF(H265="Có","2. Lên lịch",IF(I265="Có","3. Giao lại","4. Để sau"))))</f>
        <v/>
      </c>
      <c r="O265" s="9" t="str">
        <f aca="true">IF(OR(C265="",J265="",K265="Hoàn thành"),"",J265-TODAY())</f>
        <v/>
      </c>
      <c r="P265" s="9" t="str">
        <f aca="true">IF(C265="","",IF(K265="Hoàn thành",IF(OR(L265="",J265=""),"Xong (thiếu ngày)",IF(L265&lt;=J265,"Xong đúng hạn","Xong trễ")),IF(J265="","Chưa có hạn",IF(J265&lt;TODAY(),"Quá hạn",IF(J265=TODAY(),"Đến hạn hôm nay",IF(J265-TODAY()&lt;=3,"Sắp đến hạn","Trong hạn"))))))</f>
        <v/>
      </c>
      <c r="Q265" s="9" t="str">
        <f aca="false">IF(OR(C265="",J265=""),"",WEEKNUM(J265,21))</f>
        <v/>
      </c>
      <c r="R265" s="2"/>
      <c r="S265" s="9" t="str">
        <f aca="true">IF(AND(C265&lt;&gt;"",K265&lt;&gt;"Hoàn thành",J265&lt;&gt;"",J265&lt;=TODAY()),MAX(S$5:S264)+1,"")</f>
        <v/>
      </c>
      <c r="T265" s="9" t="str">
        <f aca="false">IF(AND(C265&lt;&gt;"",IF(K265="","Chưa làm",K265)="Chưa làm"),MAX(T$5:T264)+1,"")</f>
        <v/>
      </c>
      <c r="U265" s="9" t="str">
        <f aca="false">IF(AND(C265&lt;&gt;"",IF(K265="","Chưa làm",K265)="Đang làm"),MAX(U$5:U264)+1,"")</f>
        <v/>
      </c>
      <c r="V265" s="9" t="str">
        <f aca="false">IF(AND(C265&lt;&gt;"",IF(K265="","Chưa làm",K265)="Chờ duyệt"),MAX(V$5:V264)+1,"")</f>
        <v/>
      </c>
      <c r="W265" s="9" t="str">
        <f aca="false">IF(AND(C265&lt;&gt;"",IF(K265="","Chưa làm",K265)="Hoàn thành"),MAX(W$5:W264)+1,"")</f>
        <v/>
      </c>
      <c r="X265" s="9" t="str">
        <f aca="false">IF(AND(C265&lt;&gt;"",K265&lt;&gt;"Hoàn thành",N265="1. Làm ngay"),MAX(X$5:X264)+1,"")</f>
        <v/>
      </c>
      <c r="Y265" s="9" t="str">
        <f aca="false">IF(AND(C265&lt;&gt;"",K265&lt;&gt;"Hoàn thành",N265="2. Lên lịch"),MAX(Y$5:Y264)+1,"")</f>
        <v/>
      </c>
      <c r="Z265" s="9" t="str">
        <f aca="false">IF(AND(C265&lt;&gt;"",K265&lt;&gt;"Hoàn thành",N265="3. Giao lại"),MAX(Z$5:Z264)+1,"")</f>
        <v/>
      </c>
      <c r="AA265" s="9" t="str">
        <f aca="false">IF(AND(C265&lt;&gt;"",K265&lt;&gt;"Hoàn thành",N265="4. Để sau"),MAX(AA$5:AA264)+1,"")</f>
        <v/>
      </c>
      <c r="AB265" s="9" t="str">
        <f aca="false">IF(AND(C265&lt;&gt;"",J265&lt;&gt;"",J265&gt;=TUAN!$C$3,J265&lt;=TUAN!$C$3+6),MAX(AB$5:AB264)+1,"")</f>
        <v/>
      </c>
    </row>
    <row r="266" customFormat="false" ht="15" hidden="false" customHeight="false" outlineLevel="0" collapsed="false">
      <c r="A266" s="9" t="str">
        <f aca="false">IF(C266="","","CV"&amp;TEXT(ROW()-5,"000"))</f>
        <v/>
      </c>
      <c r="B266" s="10"/>
      <c r="C266" s="11"/>
      <c r="D266" s="12"/>
      <c r="E266" s="12"/>
      <c r="F266" s="12"/>
      <c r="G266" s="12"/>
      <c r="H266" s="12"/>
      <c r="I266" s="12"/>
      <c r="J266" s="10"/>
      <c r="K266" s="12"/>
      <c r="L266" s="10"/>
      <c r="M266" s="12"/>
      <c r="N266" s="9" t="str">
        <f aca="false">IF(C266="","",IF(AND(H266="Có",I266="Có"),"1. Làm ngay",IF(H266="Có","2. Lên lịch",IF(I266="Có","3. Giao lại","4. Để sau"))))</f>
        <v/>
      </c>
      <c r="O266" s="9" t="str">
        <f aca="true">IF(OR(C266="",J266="",K266="Hoàn thành"),"",J266-TODAY())</f>
        <v/>
      </c>
      <c r="P266" s="9" t="str">
        <f aca="true">IF(C266="","",IF(K266="Hoàn thành",IF(OR(L266="",J266=""),"Xong (thiếu ngày)",IF(L266&lt;=J266,"Xong đúng hạn","Xong trễ")),IF(J266="","Chưa có hạn",IF(J266&lt;TODAY(),"Quá hạn",IF(J266=TODAY(),"Đến hạn hôm nay",IF(J266-TODAY()&lt;=3,"Sắp đến hạn","Trong hạn"))))))</f>
        <v/>
      </c>
      <c r="Q266" s="9" t="str">
        <f aca="false">IF(OR(C266="",J266=""),"",WEEKNUM(J266,21))</f>
        <v/>
      </c>
      <c r="R266" s="2"/>
      <c r="S266" s="9" t="str">
        <f aca="true">IF(AND(C266&lt;&gt;"",K266&lt;&gt;"Hoàn thành",J266&lt;&gt;"",J266&lt;=TODAY()),MAX(S$5:S265)+1,"")</f>
        <v/>
      </c>
      <c r="T266" s="9" t="str">
        <f aca="false">IF(AND(C266&lt;&gt;"",IF(K266="","Chưa làm",K266)="Chưa làm"),MAX(T$5:T265)+1,"")</f>
        <v/>
      </c>
      <c r="U266" s="9" t="str">
        <f aca="false">IF(AND(C266&lt;&gt;"",IF(K266="","Chưa làm",K266)="Đang làm"),MAX(U$5:U265)+1,"")</f>
        <v/>
      </c>
      <c r="V266" s="9" t="str">
        <f aca="false">IF(AND(C266&lt;&gt;"",IF(K266="","Chưa làm",K266)="Chờ duyệt"),MAX(V$5:V265)+1,"")</f>
        <v/>
      </c>
      <c r="W266" s="9" t="str">
        <f aca="false">IF(AND(C266&lt;&gt;"",IF(K266="","Chưa làm",K266)="Hoàn thành"),MAX(W$5:W265)+1,"")</f>
        <v/>
      </c>
      <c r="X266" s="9" t="str">
        <f aca="false">IF(AND(C266&lt;&gt;"",K266&lt;&gt;"Hoàn thành",N266="1. Làm ngay"),MAX(X$5:X265)+1,"")</f>
        <v/>
      </c>
      <c r="Y266" s="9" t="str">
        <f aca="false">IF(AND(C266&lt;&gt;"",K266&lt;&gt;"Hoàn thành",N266="2. Lên lịch"),MAX(Y$5:Y265)+1,"")</f>
        <v/>
      </c>
      <c r="Z266" s="9" t="str">
        <f aca="false">IF(AND(C266&lt;&gt;"",K266&lt;&gt;"Hoàn thành",N266="3. Giao lại"),MAX(Z$5:Z265)+1,"")</f>
        <v/>
      </c>
      <c r="AA266" s="9" t="str">
        <f aca="false">IF(AND(C266&lt;&gt;"",K266&lt;&gt;"Hoàn thành",N266="4. Để sau"),MAX(AA$5:AA265)+1,"")</f>
        <v/>
      </c>
      <c r="AB266" s="9" t="str">
        <f aca="false">IF(AND(C266&lt;&gt;"",J266&lt;&gt;"",J266&gt;=TUAN!$C$3,J266&lt;=TUAN!$C$3+6),MAX(AB$5:AB265)+1,"")</f>
        <v/>
      </c>
    </row>
    <row r="267" customFormat="false" ht="15" hidden="false" customHeight="false" outlineLevel="0" collapsed="false">
      <c r="A267" s="9" t="str">
        <f aca="false">IF(C267="","","CV"&amp;TEXT(ROW()-5,"000"))</f>
        <v/>
      </c>
      <c r="B267" s="10"/>
      <c r="C267" s="11"/>
      <c r="D267" s="12"/>
      <c r="E267" s="12"/>
      <c r="F267" s="12"/>
      <c r="G267" s="12"/>
      <c r="H267" s="12"/>
      <c r="I267" s="12"/>
      <c r="J267" s="10"/>
      <c r="K267" s="12"/>
      <c r="L267" s="10"/>
      <c r="M267" s="12"/>
      <c r="N267" s="9" t="str">
        <f aca="false">IF(C267="","",IF(AND(H267="Có",I267="Có"),"1. Làm ngay",IF(H267="Có","2. Lên lịch",IF(I267="Có","3. Giao lại","4. Để sau"))))</f>
        <v/>
      </c>
      <c r="O267" s="9" t="str">
        <f aca="true">IF(OR(C267="",J267="",K267="Hoàn thành"),"",J267-TODAY())</f>
        <v/>
      </c>
      <c r="P267" s="9" t="str">
        <f aca="true">IF(C267="","",IF(K267="Hoàn thành",IF(OR(L267="",J267=""),"Xong (thiếu ngày)",IF(L267&lt;=J267,"Xong đúng hạn","Xong trễ")),IF(J267="","Chưa có hạn",IF(J267&lt;TODAY(),"Quá hạn",IF(J267=TODAY(),"Đến hạn hôm nay",IF(J267-TODAY()&lt;=3,"Sắp đến hạn","Trong hạn"))))))</f>
        <v/>
      </c>
      <c r="Q267" s="9" t="str">
        <f aca="false">IF(OR(C267="",J267=""),"",WEEKNUM(J267,21))</f>
        <v/>
      </c>
      <c r="R267" s="2"/>
      <c r="S267" s="9" t="str">
        <f aca="true">IF(AND(C267&lt;&gt;"",K267&lt;&gt;"Hoàn thành",J267&lt;&gt;"",J267&lt;=TODAY()),MAX(S$5:S266)+1,"")</f>
        <v/>
      </c>
      <c r="T267" s="9" t="str">
        <f aca="false">IF(AND(C267&lt;&gt;"",IF(K267="","Chưa làm",K267)="Chưa làm"),MAX(T$5:T266)+1,"")</f>
        <v/>
      </c>
      <c r="U267" s="9" t="str">
        <f aca="false">IF(AND(C267&lt;&gt;"",IF(K267="","Chưa làm",K267)="Đang làm"),MAX(U$5:U266)+1,"")</f>
        <v/>
      </c>
      <c r="V267" s="9" t="str">
        <f aca="false">IF(AND(C267&lt;&gt;"",IF(K267="","Chưa làm",K267)="Chờ duyệt"),MAX(V$5:V266)+1,"")</f>
        <v/>
      </c>
      <c r="W267" s="9" t="str">
        <f aca="false">IF(AND(C267&lt;&gt;"",IF(K267="","Chưa làm",K267)="Hoàn thành"),MAX(W$5:W266)+1,"")</f>
        <v/>
      </c>
      <c r="X267" s="9" t="str">
        <f aca="false">IF(AND(C267&lt;&gt;"",K267&lt;&gt;"Hoàn thành",N267="1. Làm ngay"),MAX(X$5:X266)+1,"")</f>
        <v/>
      </c>
      <c r="Y267" s="9" t="str">
        <f aca="false">IF(AND(C267&lt;&gt;"",K267&lt;&gt;"Hoàn thành",N267="2. Lên lịch"),MAX(Y$5:Y266)+1,"")</f>
        <v/>
      </c>
      <c r="Z267" s="9" t="str">
        <f aca="false">IF(AND(C267&lt;&gt;"",K267&lt;&gt;"Hoàn thành",N267="3. Giao lại"),MAX(Z$5:Z266)+1,"")</f>
        <v/>
      </c>
      <c r="AA267" s="9" t="str">
        <f aca="false">IF(AND(C267&lt;&gt;"",K267&lt;&gt;"Hoàn thành",N267="4. Để sau"),MAX(AA$5:AA266)+1,"")</f>
        <v/>
      </c>
      <c r="AB267" s="9" t="str">
        <f aca="false">IF(AND(C267&lt;&gt;"",J267&lt;&gt;"",J267&gt;=TUAN!$C$3,J267&lt;=TUAN!$C$3+6),MAX(AB$5:AB266)+1,"")</f>
        <v/>
      </c>
    </row>
    <row r="268" customFormat="false" ht="15" hidden="false" customHeight="false" outlineLevel="0" collapsed="false">
      <c r="A268" s="9" t="str">
        <f aca="false">IF(C268="","","CV"&amp;TEXT(ROW()-5,"000"))</f>
        <v/>
      </c>
      <c r="B268" s="10"/>
      <c r="C268" s="11"/>
      <c r="D268" s="12"/>
      <c r="E268" s="12"/>
      <c r="F268" s="12"/>
      <c r="G268" s="12"/>
      <c r="H268" s="12"/>
      <c r="I268" s="12"/>
      <c r="J268" s="10"/>
      <c r="K268" s="12"/>
      <c r="L268" s="10"/>
      <c r="M268" s="12"/>
      <c r="N268" s="9" t="str">
        <f aca="false">IF(C268="","",IF(AND(H268="Có",I268="Có"),"1. Làm ngay",IF(H268="Có","2. Lên lịch",IF(I268="Có","3. Giao lại","4. Để sau"))))</f>
        <v/>
      </c>
      <c r="O268" s="9" t="str">
        <f aca="true">IF(OR(C268="",J268="",K268="Hoàn thành"),"",J268-TODAY())</f>
        <v/>
      </c>
      <c r="P268" s="9" t="str">
        <f aca="true">IF(C268="","",IF(K268="Hoàn thành",IF(OR(L268="",J268=""),"Xong (thiếu ngày)",IF(L268&lt;=J268,"Xong đúng hạn","Xong trễ")),IF(J268="","Chưa có hạn",IF(J268&lt;TODAY(),"Quá hạn",IF(J268=TODAY(),"Đến hạn hôm nay",IF(J268-TODAY()&lt;=3,"Sắp đến hạn","Trong hạn"))))))</f>
        <v/>
      </c>
      <c r="Q268" s="9" t="str">
        <f aca="false">IF(OR(C268="",J268=""),"",WEEKNUM(J268,21))</f>
        <v/>
      </c>
      <c r="R268" s="2"/>
      <c r="S268" s="9" t="str">
        <f aca="true">IF(AND(C268&lt;&gt;"",K268&lt;&gt;"Hoàn thành",J268&lt;&gt;"",J268&lt;=TODAY()),MAX(S$5:S267)+1,"")</f>
        <v/>
      </c>
      <c r="T268" s="9" t="str">
        <f aca="false">IF(AND(C268&lt;&gt;"",IF(K268="","Chưa làm",K268)="Chưa làm"),MAX(T$5:T267)+1,"")</f>
        <v/>
      </c>
      <c r="U268" s="9" t="str">
        <f aca="false">IF(AND(C268&lt;&gt;"",IF(K268="","Chưa làm",K268)="Đang làm"),MAX(U$5:U267)+1,"")</f>
        <v/>
      </c>
      <c r="V268" s="9" t="str">
        <f aca="false">IF(AND(C268&lt;&gt;"",IF(K268="","Chưa làm",K268)="Chờ duyệt"),MAX(V$5:V267)+1,"")</f>
        <v/>
      </c>
      <c r="W268" s="9" t="str">
        <f aca="false">IF(AND(C268&lt;&gt;"",IF(K268="","Chưa làm",K268)="Hoàn thành"),MAX(W$5:W267)+1,"")</f>
        <v/>
      </c>
      <c r="X268" s="9" t="str">
        <f aca="false">IF(AND(C268&lt;&gt;"",K268&lt;&gt;"Hoàn thành",N268="1. Làm ngay"),MAX(X$5:X267)+1,"")</f>
        <v/>
      </c>
      <c r="Y268" s="9" t="str">
        <f aca="false">IF(AND(C268&lt;&gt;"",K268&lt;&gt;"Hoàn thành",N268="2. Lên lịch"),MAX(Y$5:Y267)+1,"")</f>
        <v/>
      </c>
      <c r="Z268" s="9" t="str">
        <f aca="false">IF(AND(C268&lt;&gt;"",K268&lt;&gt;"Hoàn thành",N268="3. Giao lại"),MAX(Z$5:Z267)+1,"")</f>
        <v/>
      </c>
      <c r="AA268" s="9" t="str">
        <f aca="false">IF(AND(C268&lt;&gt;"",K268&lt;&gt;"Hoàn thành",N268="4. Để sau"),MAX(AA$5:AA267)+1,"")</f>
        <v/>
      </c>
      <c r="AB268" s="9" t="str">
        <f aca="false">IF(AND(C268&lt;&gt;"",J268&lt;&gt;"",J268&gt;=TUAN!$C$3,J268&lt;=TUAN!$C$3+6),MAX(AB$5:AB267)+1,"")</f>
        <v/>
      </c>
    </row>
    <row r="269" customFormat="false" ht="15" hidden="false" customHeight="false" outlineLevel="0" collapsed="false">
      <c r="A269" s="9" t="str">
        <f aca="false">IF(C269="","","CV"&amp;TEXT(ROW()-5,"000"))</f>
        <v/>
      </c>
      <c r="B269" s="10"/>
      <c r="C269" s="11"/>
      <c r="D269" s="12"/>
      <c r="E269" s="12"/>
      <c r="F269" s="12"/>
      <c r="G269" s="12"/>
      <c r="H269" s="12"/>
      <c r="I269" s="12"/>
      <c r="J269" s="10"/>
      <c r="K269" s="12"/>
      <c r="L269" s="10"/>
      <c r="M269" s="12"/>
      <c r="N269" s="9" t="str">
        <f aca="false">IF(C269="","",IF(AND(H269="Có",I269="Có"),"1. Làm ngay",IF(H269="Có","2. Lên lịch",IF(I269="Có","3. Giao lại","4. Để sau"))))</f>
        <v/>
      </c>
      <c r="O269" s="9" t="str">
        <f aca="true">IF(OR(C269="",J269="",K269="Hoàn thành"),"",J269-TODAY())</f>
        <v/>
      </c>
      <c r="P269" s="9" t="str">
        <f aca="true">IF(C269="","",IF(K269="Hoàn thành",IF(OR(L269="",J269=""),"Xong (thiếu ngày)",IF(L269&lt;=J269,"Xong đúng hạn","Xong trễ")),IF(J269="","Chưa có hạn",IF(J269&lt;TODAY(),"Quá hạn",IF(J269=TODAY(),"Đến hạn hôm nay",IF(J269-TODAY()&lt;=3,"Sắp đến hạn","Trong hạn"))))))</f>
        <v/>
      </c>
      <c r="Q269" s="9" t="str">
        <f aca="false">IF(OR(C269="",J269=""),"",WEEKNUM(J269,21))</f>
        <v/>
      </c>
      <c r="R269" s="2"/>
      <c r="S269" s="9" t="str">
        <f aca="true">IF(AND(C269&lt;&gt;"",K269&lt;&gt;"Hoàn thành",J269&lt;&gt;"",J269&lt;=TODAY()),MAX(S$5:S268)+1,"")</f>
        <v/>
      </c>
      <c r="T269" s="9" t="str">
        <f aca="false">IF(AND(C269&lt;&gt;"",IF(K269="","Chưa làm",K269)="Chưa làm"),MAX(T$5:T268)+1,"")</f>
        <v/>
      </c>
      <c r="U269" s="9" t="str">
        <f aca="false">IF(AND(C269&lt;&gt;"",IF(K269="","Chưa làm",K269)="Đang làm"),MAX(U$5:U268)+1,"")</f>
        <v/>
      </c>
      <c r="V269" s="9" t="str">
        <f aca="false">IF(AND(C269&lt;&gt;"",IF(K269="","Chưa làm",K269)="Chờ duyệt"),MAX(V$5:V268)+1,"")</f>
        <v/>
      </c>
      <c r="W269" s="9" t="str">
        <f aca="false">IF(AND(C269&lt;&gt;"",IF(K269="","Chưa làm",K269)="Hoàn thành"),MAX(W$5:W268)+1,"")</f>
        <v/>
      </c>
      <c r="X269" s="9" t="str">
        <f aca="false">IF(AND(C269&lt;&gt;"",K269&lt;&gt;"Hoàn thành",N269="1. Làm ngay"),MAX(X$5:X268)+1,"")</f>
        <v/>
      </c>
      <c r="Y269" s="9" t="str">
        <f aca="false">IF(AND(C269&lt;&gt;"",K269&lt;&gt;"Hoàn thành",N269="2. Lên lịch"),MAX(Y$5:Y268)+1,"")</f>
        <v/>
      </c>
      <c r="Z269" s="9" t="str">
        <f aca="false">IF(AND(C269&lt;&gt;"",K269&lt;&gt;"Hoàn thành",N269="3. Giao lại"),MAX(Z$5:Z268)+1,"")</f>
        <v/>
      </c>
      <c r="AA269" s="9" t="str">
        <f aca="false">IF(AND(C269&lt;&gt;"",K269&lt;&gt;"Hoàn thành",N269="4. Để sau"),MAX(AA$5:AA268)+1,"")</f>
        <v/>
      </c>
      <c r="AB269" s="9" t="str">
        <f aca="false">IF(AND(C269&lt;&gt;"",J269&lt;&gt;"",J269&gt;=TUAN!$C$3,J269&lt;=TUAN!$C$3+6),MAX(AB$5:AB268)+1,"")</f>
        <v/>
      </c>
    </row>
    <row r="270" customFormat="false" ht="15" hidden="false" customHeight="false" outlineLevel="0" collapsed="false">
      <c r="A270" s="9" t="str">
        <f aca="false">IF(C270="","","CV"&amp;TEXT(ROW()-5,"000"))</f>
        <v/>
      </c>
      <c r="B270" s="10"/>
      <c r="C270" s="11"/>
      <c r="D270" s="12"/>
      <c r="E270" s="12"/>
      <c r="F270" s="12"/>
      <c r="G270" s="12"/>
      <c r="H270" s="12"/>
      <c r="I270" s="12"/>
      <c r="J270" s="10"/>
      <c r="K270" s="12"/>
      <c r="L270" s="10"/>
      <c r="M270" s="12"/>
      <c r="N270" s="9" t="str">
        <f aca="false">IF(C270="","",IF(AND(H270="Có",I270="Có"),"1. Làm ngay",IF(H270="Có","2. Lên lịch",IF(I270="Có","3. Giao lại","4. Để sau"))))</f>
        <v/>
      </c>
      <c r="O270" s="9" t="str">
        <f aca="true">IF(OR(C270="",J270="",K270="Hoàn thành"),"",J270-TODAY())</f>
        <v/>
      </c>
      <c r="P270" s="9" t="str">
        <f aca="true">IF(C270="","",IF(K270="Hoàn thành",IF(OR(L270="",J270=""),"Xong (thiếu ngày)",IF(L270&lt;=J270,"Xong đúng hạn","Xong trễ")),IF(J270="","Chưa có hạn",IF(J270&lt;TODAY(),"Quá hạn",IF(J270=TODAY(),"Đến hạn hôm nay",IF(J270-TODAY()&lt;=3,"Sắp đến hạn","Trong hạn"))))))</f>
        <v/>
      </c>
      <c r="Q270" s="9" t="str">
        <f aca="false">IF(OR(C270="",J270=""),"",WEEKNUM(J270,21))</f>
        <v/>
      </c>
      <c r="R270" s="2"/>
      <c r="S270" s="9" t="str">
        <f aca="true">IF(AND(C270&lt;&gt;"",K270&lt;&gt;"Hoàn thành",J270&lt;&gt;"",J270&lt;=TODAY()),MAX(S$5:S269)+1,"")</f>
        <v/>
      </c>
      <c r="T270" s="9" t="str">
        <f aca="false">IF(AND(C270&lt;&gt;"",IF(K270="","Chưa làm",K270)="Chưa làm"),MAX(T$5:T269)+1,"")</f>
        <v/>
      </c>
      <c r="U270" s="9" t="str">
        <f aca="false">IF(AND(C270&lt;&gt;"",IF(K270="","Chưa làm",K270)="Đang làm"),MAX(U$5:U269)+1,"")</f>
        <v/>
      </c>
      <c r="V270" s="9" t="str">
        <f aca="false">IF(AND(C270&lt;&gt;"",IF(K270="","Chưa làm",K270)="Chờ duyệt"),MAX(V$5:V269)+1,"")</f>
        <v/>
      </c>
      <c r="W270" s="9" t="str">
        <f aca="false">IF(AND(C270&lt;&gt;"",IF(K270="","Chưa làm",K270)="Hoàn thành"),MAX(W$5:W269)+1,"")</f>
        <v/>
      </c>
      <c r="X270" s="9" t="str">
        <f aca="false">IF(AND(C270&lt;&gt;"",K270&lt;&gt;"Hoàn thành",N270="1. Làm ngay"),MAX(X$5:X269)+1,"")</f>
        <v/>
      </c>
      <c r="Y270" s="9" t="str">
        <f aca="false">IF(AND(C270&lt;&gt;"",K270&lt;&gt;"Hoàn thành",N270="2. Lên lịch"),MAX(Y$5:Y269)+1,"")</f>
        <v/>
      </c>
      <c r="Z270" s="9" t="str">
        <f aca="false">IF(AND(C270&lt;&gt;"",K270&lt;&gt;"Hoàn thành",N270="3. Giao lại"),MAX(Z$5:Z269)+1,"")</f>
        <v/>
      </c>
      <c r="AA270" s="9" t="str">
        <f aca="false">IF(AND(C270&lt;&gt;"",K270&lt;&gt;"Hoàn thành",N270="4. Để sau"),MAX(AA$5:AA269)+1,"")</f>
        <v/>
      </c>
      <c r="AB270" s="9" t="str">
        <f aca="false">IF(AND(C270&lt;&gt;"",J270&lt;&gt;"",J270&gt;=TUAN!$C$3,J270&lt;=TUAN!$C$3+6),MAX(AB$5:AB269)+1,"")</f>
        <v/>
      </c>
    </row>
    <row r="271" customFormat="false" ht="15" hidden="false" customHeight="false" outlineLevel="0" collapsed="false">
      <c r="A271" s="9" t="str">
        <f aca="false">IF(C271="","","CV"&amp;TEXT(ROW()-5,"000"))</f>
        <v/>
      </c>
      <c r="B271" s="10"/>
      <c r="C271" s="11"/>
      <c r="D271" s="12"/>
      <c r="E271" s="12"/>
      <c r="F271" s="12"/>
      <c r="G271" s="12"/>
      <c r="H271" s="12"/>
      <c r="I271" s="12"/>
      <c r="J271" s="10"/>
      <c r="K271" s="12"/>
      <c r="L271" s="10"/>
      <c r="M271" s="12"/>
      <c r="N271" s="9" t="str">
        <f aca="false">IF(C271="","",IF(AND(H271="Có",I271="Có"),"1. Làm ngay",IF(H271="Có","2. Lên lịch",IF(I271="Có","3. Giao lại","4. Để sau"))))</f>
        <v/>
      </c>
      <c r="O271" s="9" t="str">
        <f aca="true">IF(OR(C271="",J271="",K271="Hoàn thành"),"",J271-TODAY())</f>
        <v/>
      </c>
      <c r="P271" s="9" t="str">
        <f aca="true">IF(C271="","",IF(K271="Hoàn thành",IF(OR(L271="",J271=""),"Xong (thiếu ngày)",IF(L271&lt;=J271,"Xong đúng hạn","Xong trễ")),IF(J271="","Chưa có hạn",IF(J271&lt;TODAY(),"Quá hạn",IF(J271=TODAY(),"Đến hạn hôm nay",IF(J271-TODAY()&lt;=3,"Sắp đến hạn","Trong hạn"))))))</f>
        <v/>
      </c>
      <c r="Q271" s="9" t="str">
        <f aca="false">IF(OR(C271="",J271=""),"",WEEKNUM(J271,21))</f>
        <v/>
      </c>
      <c r="R271" s="2"/>
      <c r="S271" s="9" t="str">
        <f aca="true">IF(AND(C271&lt;&gt;"",K271&lt;&gt;"Hoàn thành",J271&lt;&gt;"",J271&lt;=TODAY()),MAX(S$5:S270)+1,"")</f>
        <v/>
      </c>
      <c r="T271" s="9" t="str">
        <f aca="false">IF(AND(C271&lt;&gt;"",IF(K271="","Chưa làm",K271)="Chưa làm"),MAX(T$5:T270)+1,"")</f>
        <v/>
      </c>
      <c r="U271" s="9" t="str">
        <f aca="false">IF(AND(C271&lt;&gt;"",IF(K271="","Chưa làm",K271)="Đang làm"),MAX(U$5:U270)+1,"")</f>
        <v/>
      </c>
      <c r="V271" s="9" t="str">
        <f aca="false">IF(AND(C271&lt;&gt;"",IF(K271="","Chưa làm",K271)="Chờ duyệt"),MAX(V$5:V270)+1,"")</f>
        <v/>
      </c>
      <c r="W271" s="9" t="str">
        <f aca="false">IF(AND(C271&lt;&gt;"",IF(K271="","Chưa làm",K271)="Hoàn thành"),MAX(W$5:W270)+1,"")</f>
        <v/>
      </c>
      <c r="X271" s="9" t="str">
        <f aca="false">IF(AND(C271&lt;&gt;"",K271&lt;&gt;"Hoàn thành",N271="1. Làm ngay"),MAX(X$5:X270)+1,"")</f>
        <v/>
      </c>
      <c r="Y271" s="9" t="str">
        <f aca="false">IF(AND(C271&lt;&gt;"",K271&lt;&gt;"Hoàn thành",N271="2. Lên lịch"),MAX(Y$5:Y270)+1,"")</f>
        <v/>
      </c>
      <c r="Z271" s="9" t="str">
        <f aca="false">IF(AND(C271&lt;&gt;"",K271&lt;&gt;"Hoàn thành",N271="3. Giao lại"),MAX(Z$5:Z270)+1,"")</f>
        <v/>
      </c>
      <c r="AA271" s="9" t="str">
        <f aca="false">IF(AND(C271&lt;&gt;"",K271&lt;&gt;"Hoàn thành",N271="4. Để sau"),MAX(AA$5:AA270)+1,"")</f>
        <v/>
      </c>
      <c r="AB271" s="9" t="str">
        <f aca="false">IF(AND(C271&lt;&gt;"",J271&lt;&gt;"",J271&gt;=TUAN!$C$3,J271&lt;=TUAN!$C$3+6),MAX(AB$5:AB270)+1,"")</f>
        <v/>
      </c>
    </row>
    <row r="272" customFormat="false" ht="15" hidden="false" customHeight="false" outlineLevel="0" collapsed="false">
      <c r="A272" s="9" t="str">
        <f aca="false">IF(C272="","","CV"&amp;TEXT(ROW()-5,"000"))</f>
        <v/>
      </c>
      <c r="B272" s="10"/>
      <c r="C272" s="11"/>
      <c r="D272" s="12"/>
      <c r="E272" s="12"/>
      <c r="F272" s="12"/>
      <c r="G272" s="12"/>
      <c r="H272" s="12"/>
      <c r="I272" s="12"/>
      <c r="J272" s="10"/>
      <c r="K272" s="12"/>
      <c r="L272" s="10"/>
      <c r="M272" s="12"/>
      <c r="N272" s="9" t="str">
        <f aca="false">IF(C272="","",IF(AND(H272="Có",I272="Có"),"1. Làm ngay",IF(H272="Có","2. Lên lịch",IF(I272="Có","3. Giao lại","4. Để sau"))))</f>
        <v/>
      </c>
      <c r="O272" s="9" t="str">
        <f aca="true">IF(OR(C272="",J272="",K272="Hoàn thành"),"",J272-TODAY())</f>
        <v/>
      </c>
      <c r="P272" s="9" t="str">
        <f aca="true">IF(C272="","",IF(K272="Hoàn thành",IF(OR(L272="",J272=""),"Xong (thiếu ngày)",IF(L272&lt;=J272,"Xong đúng hạn","Xong trễ")),IF(J272="","Chưa có hạn",IF(J272&lt;TODAY(),"Quá hạn",IF(J272=TODAY(),"Đến hạn hôm nay",IF(J272-TODAY()&lt;=3,"Sắp đến hạn","Trong hạn"))))))</f>
        <v/>
      </c>
      <c r="Q272" s="9" t="str">
        <f aca="false">IF(OR(C272="",J272=""),"",WEEKNUM(J272,21))</f>
        <v/>
      </c>
      <c r="R272" s="2"/>
      <c r="S272" s="9" t="str">
        <f aca="true">IF(AND(C272&lt;&gt;"",K272&lt;&gt;"Hoàn thành",J272&lt;&gt;"",J272&lt;=TODAY()),MAX(S$5:S271)+1,"")</f>
        <v/>
      </c>
      <c r="T272" s="9" t="str">
        <f aca="false">IF(AND(C272&lt;&gt;"",IF(K272="","Chưa làm",K272)="Chưa làm"),MAX(T$5:T271)+1,"")</f>
        <v/>
      </c>
      <c r="U272" s="9" t="str">
        <f aca="false">IF(AND(C272&lt;&gt;"",IF(K272="","Chưa làm",K272)="Đang làm"),MAX(U$5:U271)+1,"")</f>
        <v/>
      </c>
      <c r="V272" s="9" t="str">
        <f aca="false">IF(AND(C272&lt;&gt;"",IF(K272="","Chưa làm",K272)="Chờ duyệt"),MAX(V$5:V271)+1,"")</f>
        <v/>
      </c>
      <c r="W272" s="9" t="str">
        <f aca="false">IF(AND(C272&lt;&gt;"",IF(K272="","Chưa làm",K272)="Hoàn thành"),MAX(W$5:W271)+1,"")</f>
        <v/>
      </c>
      <c r="X272" s="9" t="str">
        <f aca="false">IF(AND(C272&lt;&gt;"",K272&lt;&gt;"Hoàn thành",N272="1. Làm ngay"),MAX(X$5:X271)+1,"")</f>
        <v/>
      </c>
      <c r="Y272" s="9" t="str">
        <f aca="false">IF(AND(C272&lt;&gt;"",K272&lt;&gt;"Hoàn thành",N272="2. Lên lịch"),MAX(Y$5:Y271)+1,"")</f>
        <v/>
      </c>
      <c r="Z272" s="9" t="str">
        <f aca="false">IF(AND(C272&lt;&gt;"",K272&lt;&gt;"Hoàn thành",N272="3. Giao lại"),MAX(Z$5:Z271)+1,"")</f>
        <v/>
      </c>
      <c r="AA272" s="9" t="str">
        <f aca="false">IF(AND(C272&lt;&gt;"",K272&lt;&gt;"Hoàn thành",N272="4. Để sau"),MAX(AA$5:AA271)+1,"")</f>
        <v/>
      </c>
      <c r="AB272" s="9" t="str">
        <f aca="false">IF(AND(C272&lt;&gt;"",J272&lt;&gt;"",J272&gt;=TUAN!$C$3,J272&lt;=TUAN!$C$3+6),MAX(AB$5:AB271)+1,"")</f>
        <v/>
      </c>
    </row>
    <row r="273" customFormat="false" ht="15" hidden="false" customHeight="false" outlineLevel="0" collapsed="false">
      <c r="A273" s="9" t="str">
        <f aca="false">IF(C273="","","CV"&amp;TEXT(ROW()-5,"000"))</f>
        <v/>
      </c>
      <c r="B273" s="10"/>
      <c r="C273" s="11"/>
      <c r="D273" s="12"/>
      <c r="E273" s="12"/>
      <c r="F273" s="12"/>
      <c r="G273" s="12"/>
      <c r="H273" s="12"/>
      <c r="I273" s="12"/>
      <c r="J273" s="10"/>
      <c r="K273" s="12"/>
      <c r="L273" s="10"/>
      <c r="M273" s="12"/>
      <c r="N273" s="9" t="str">
        <f aca="false">IF(C273="","",IF(AND(H273="Có",I273="Có"),"1. Làm ngay",IF(H273="Có","2. Lên lịch",IF(I273="Có","3. Giao lại","4. Để sau"))))</f>
        <v/>
      </c>
      <c r="O273" s="9" t="str">
        <f aca="true">IF(OR(C273="",J273="",K273="Hoàn thành"),"",J273-TODAY())</f>
        <v/>
      </c>
      <c r="P273" s="9" t="str">
        <f aca="true">IF(C273="","",IF(K273="Hoàn thành",IF(OR(L273="",J273=""),"Xong (thiếu ngày)",IF(L273&lt;=J273,"Xong đúng hạn","Xong trễ")),IF(J273="","Chưa có hạn",IF(J273&lt;TODAY(),"Quá hạn",IF(J273=TODAY(),"Đến hạn hôm nay",IF(J273-TODAY()&lt;=3,"Sắp đến hạn","Trong hạn"))))))</f>
        <v/>
      </c>
      <c r="Q273" s="9" t="str">
        <f aca="false">IF(OR(C273="",J273=""),"",WEEKNUM(J273,21))</f>
        <v/>
      </c>
      <c r="R273" s="2"/>
      <c r="S273" s="9" t="str">
        <f aca="true">IF(AND(C273&lt;&gt;"",K273&lt;&gt;"Hoàn thành",J273&lt;&gt;"",J273&lt;=TODAY()),MAX(S$5:S272)+1,"")</f>
        <v/>
      </c>
      <c r="T273" s="9" t="str">
        <f aca="false">IF(AND(C273&lt;&gt;"",IF(K273="","Chưa làm",K273)="Chưa làm"),MAX(T$5:T272)+1,"")</f>
        <v/>
      </c>
      <c r="U273" s="9" t="str">
        <f aca="false">IF(AND(C273&lt;&gt;"",IF(K273="","Chưa làm",K273)="Đang làm"),MAX(U$5:U272)+1,"")</f>
        <v/>
      </c>
      <c r="V273" s="9" t="str">
        <f aca="false">IF(AND(C273&lt;&gt;"",IF(K273="","Chưa làm",K273)="Chờ duyệt"),MAX(V$5:V272)+1,"")</f>
        <v/>
      </c>
      <c r="W273" s="9" t="str">
        <f aca="false">IF(AND(C273&lt;&gt;"",IF(K273="","Chưa làm",K273)="Hoàn thành"),MAX(W$5:W272)+1,"")</f>
        <v/>
      </c>
      <c r="X273" s="9" t="str">
        <f aca="false">IF(AND(C273&lt;&gt;"",K273&lt;&gt;"Hoàn thành",N273="1. Làm ngay"),MAX(X$5:X272)+1,"")</f>
        <v/>
      </c>
      <c r="Y273" s="9" t="str">
        <f aca="false">IF(AND(C273&lt;&gt;"",K273&lt;&gt;"Hoàn thành",N273="2. Lên lịch"),MAX(Y$5:Y272)+1,"")</f>
        <v/>
      </c>
      <c r="Z273" s="9" t="str">
        <f aca="false">IF(AND(C273&lt;&gt;"",K273&lt;&gt;"Hoàn thành",N273="3. Giao lại"),MAX(Z$5:Z272)+1,"")</f>
        <v/>
      </c>
      <c r="AA273" s="9" t="str">
        <f aca="false">IF(AND(C273&lt;&gt;"",K273&lt;&gt;"Hoàn thành",N273="4. Để sau"),MAX(AA$5:AA272)+1,"")</f>
        <v/>
      </c>
      <c r="AB273" s="9" t="str">
        <f aca="false">IF(AND(C273&lt;&gt;"",J273&lt;&gt;"",J273&gt;=TUAN!$C$3,J273&lt;=TUAN!$C$3+6),MAX(AB$5:AB272)+1,"")</f>
        <v/>
      </c>
    </row>
    <row r="274" customFormat="false" ht="15" hidden="false" customHeight="false" outlineLevel="0" collapsed="false">
      <c r="A274" s="9" t="str">
        <f aca="false">IF(C274="","","CV"&amp;TEXT(ROW()-5,"000"))</f>
        <v/>
      </c>
      <c r="B274" s="10"/>
      <c r="C274" s="11"/>
      <c r="D274" s="12"/>
      <c r="E274" s="12"/>
      <c r="F274" s="12"/>
      <c r="G274" s="12"/>
      <c r="H274" s="12"/>
      <c r="I274" s="12"/>
      <c r="J274" s="10"/>
      <c r="K274" s="12"/>
      <c r="L274" s="10"/>
      <c r="M274" s="12"/>
      <c r="N274" s="9" t="str">
        <f aca="false">IF(C274="","",IF(AND(H274="Có",I274="Có"),"1. Làm ngay",IF(H274="Có","2. Lên lịch",IF(I274="Có","3. Giao lại","4. Để sau"))))</f>
        <v/>
      </c>
      <c r="O274" s="9" t="str">
        <f aca="true">IF(OR(C274="",J274="",K274="Hoàn thành"),"",J274-TODAY())</f>
        <v/>
      </c>
      <c r="P274" s="9" t="str">
        <f aca="true">IF(C274="","",IF(K274="Hoàn thành",IF(OR(L274="",J274=""),"Xong (thiếu ngày)",IF(L274&lt;=J274,"Xong đúng hạn","Xong trễ")),IF(J274="","Chưa có hạn",IF(J274&lt;TODAY(),"Quá hạn",IF(J274=TODAY(),"Đến hạn hôm nay",IF(J274-TODAY()&lt;=3,"Sắp đến hạn","Trong hạn"))))))</f>
        <v/>
      </c>
      <c r="Q274" s="9" t="str">
        <f aca="false">IF(OR(C274="",J274=""),"",WEEKNUM(J274,21))</f>
        <v/>
      </c>
      <c r="R274" s="2"/>
      <c r="S274" s="9" t="str">
        <f aca="true">IF(AND(C274&lt;&gt;"",K274&lt;&gt;"Hoàn thành",J274&lt;&gt;"",J274&lt;=TODAY()),MAX(S$5:S273)+1,"")</f>
        <v/>
      </c>
      <c r="T274" s="9" t="str">
        <f aca="false">IF(AND(C274&lt;&gt;"",IF(K274="","Chưa làm",K274)="Chưa làm"),MAX(T$5:T273)+1,"")</f>
        <v/>
      </c>
      <c r="U274" s="9" t="str">
        <f aca="false">IF(AND(C274&lt;&gt;"",IF(K274="","Chưa làm",K274)="Đang làm"),MAX(U$5:U273)+1,"")</f>
        <v/>
      </c>
      <c r="V274" s="9" t="str">
        <f aca="false">IF(AND(C274&lt;&gt;"",IF(K274="","Chưa làm",K274)="Chờ duyệt"),MAX(V$5:V273)+1,"")</f>
        <v/>
      </c>
      <c r="W274" s="9" t="str">
        <f aca="false">IF(AND(C274&lt;&gt;"",IF(K274="","Chưa làm",K274)="Hoàn thành"),MAX(W$5:W273)+1,"")</f>
        <v/>
      </c>
      <c r="X274" s="9" t="str">
        <f aca="false">IF(AND(C274&lt;&gt;"",K274&lt;&gt;"Hoàn thành",N274="1. Làm ngay"),MAX(X$5:X273)+1,"")</f>
        <v/>
      </c>
      <c r="Y274" s="9" t="str">
        <f aca="false">IF(AND(C274&lt;&gt;"",K274&lt;&gt;"Hoàn thành",N274="2. Lên lịch"),MAX(Y$5:Y273)+1,"")</f>
        <v/>
      </c>
      <c r="Z274" s="9" t="str">
        <f aca="false">IF(AND(C274&lt;&gt;"",K274&lt;&gt;"Hoàn thành",N274="3. Giao lại"),MAX(Z$5:Z273)+1,"")</f>
        <v/>
      </c>
      <c r="AA274" s="9" t="str">
        <f aca="false">IF(AND(C274&lt;&gt;"",K274&lt;&gt;"Hoàn thành",N274="4. Để sau"),MAX(AA$5:AA273)+1,"")</f>
        <v/>
      </c>
      <c r="AB274" s="9" t="str">
        <f aca="false">IF(AND(C274&lt;&gt;"",J274&lt;&gt;"",J274&gt;=TUAN!$C$3,J274&lt;=TUAN!$C$3+6),MAX(AB$5:AB273)+1,"")</f>
        <v/>
      </c>
    </row>
    <row r="275" customFormat="false" ht="15" hidden="false" customHeight="false" outlineLevel="0" collapsed="false">
      <c r="A275" s="9" t="str">
        <f aca="false">IF(C275="","","CV"&amp;TEXT(ROW()-5,"000"))</f>
        <v/>
      </c>
      <c r="B275" s="10"/>
      <c r="C275" s="11"/>
      <c r="D275" s="12"/>
      <c r="E275" s="12"/>
      <c r="F275" s="12"/>
      <c r="G275" s="12"/>
      <c r="H275" s="12"/>
      <c r="I275" s="12"/>
      <c r="J275" s="10"/>
      <c r="K275" s="12"/>
      <c r="L275" s="10"/>
      <c r="M275" s="12"/>
      <c r="N275" s="9" t="str">
        <f aca="false">IF(C275="","",IF(AND(H275="Có",I275="Có"),"1. Làm ngay",IF(H275="Có","2. Lên lịch",IF(I275="Có","3. Giao lại","4. Để sau"))))</f>
        <v/>
      </c>
      <c r="O275" s="9" t="str">
        <f aca="true">IF(OR(C275="",J275="",K275="Hoàn thành"),"",J275-TODAY())</f>
        <v/>
      </c>
      <c r="P275" s="9" t="str">
        <f aca="true">IF(C275="","",IF(K275="Hoàn thành",IF(OR(L275="",J275=""),"Xong (thiếu ngày)",IF(L275&lt;=J275,"Xong đúng hạn","Xong trễ")),IF(J275="","Chưa có hạn",IF(J275&lt;TODAY(),"Quá hạn",IF(J275=TODAY(),"Đến hạn hôm nay",IF(J275-TODAY()&lt;=3,"Sắp đến hạn","Trong hạn"))))))</f>
        <v/>
      </c>
      <c r="Q275" s="9" t="str">
        <f aca="false">IF(OR(C275="",J275=""),"",WEEKNUM(J275,21))</f>
        <v/>
      </c>
      <c r="R275" s="2"/>
      <c r="S275" s="9" t="str">
        <f aca="true">IF(AND(C275&lt;&gt;"",K275&lt;&gt;"Hoàn thành",J275&lt;&gt;"",J275&lt;=TODAY()),MAX(S$5:S274)+1,"")</f>
        <v/>
      </c>
      <c r="T275" s="9" t="str">
        <f aca="false">IF(AND(C275&lt;&gt;"",IF(K275="","Chưa làm",K275)="Chưa làm"),MAX(T$5:T274)+1,"")</f>
        <v/>
      </c>
      <c r="U275" s="9" t="str">
        <f aca="false">IF(AND(C275&lt;&gt;"",IF(K275="","Chưa làm",K275)="Đang làm"),MAX(U$5:U274)+1,"")</f>
        <v/>
      </c>
      <c r="V275" s="9" t="str">
        <f aca="false">IF(AND(C275&lt;&gt;"",IF(K275="","Chưa làm",K275)="Chờ duyệt"),MAX(V$5:V274)+1,"")</f>
        <v/>
      </c>
      <c r="W275" s="9" t="str">
        <f aca="false">IF(AND(C275&lt;&gt;"",IF(K275="","Chưa làm",K275)="Hoàn thành"),MAX(W$5:W274)+1,"")</f>
        <v/>
      </c>
      <c r="X275" s="9" t="str">
        <f aca="false">IF(AND(C275&lt;&gt;"",K275&lt;&gt;"Hoàn thành",N275="1. Làm ngay"),MAX(X$5:X274)+1,"")</f>
        <v/>
      </c>
      <c r="Y275" s="9" t="str">
        <f aca="false">IF(AND(C275&lt;&gt;"",K275&lt;&gt;"Hoàn thành",N275="2. Lên lịch"),MAX(Y$5:Y274)+1,"")</f>
        <v/>
      </c>
      <c r="Z275" s="9" t="str">
        <f aca="false">IF(AND(C275&lt;&gt;"",K275&lt;&gt;"Hoàn thành",N275="3. Giao lại"),MAX(Z$5:Z274)+1,"")</f>
        <v/>
      </c>
      <c r="AA275" s="9" t="str">
        <f aca="false">IF(AND(C275&lt;&gt;"",K275&lt;&gt;"Hoàn thành",N275="4. Để sau"),MAX(AA$5:AA274)+1,"")</f>
        <v/>
      </c>
      <c r="AB275" s="9" t="str">
        <f aca="false">IF(AND(C275&lt;&gt;"",J275&lt;&gt;"",J275&gt;=TUAN!$C$3,J275&lt;=TUAN!$C$3+6),MAX(AB$5:AB274)+1,"")</f>
        <v/>
      </c>
    </row>
    <row r="276" customFormat="false" ht="15" hidden="false" customHeight="false" outlineLevel="0" collapsed="false">
      <c r="A276" s="9" t="str">
        <f aca="false">IF(C276="","","CV"&amp;TEXT(ROW()-5,"000"))</f>
        <v/>
      </c>
      <c r="B276" s="10"/>
      <c r="C276" s="11"/>
      <c r="D276" s="12"/>
      <c r="E276" s="12"/>
      <c r="F276" s="12"/>
      <c r="G276" s="12"/>
      <c r="H276" s="12"/>
      <c r="I276" s="12"/>
      <c r="J276" s="10"/>
      <c r="K276" s="12"/>
      <c r="L276" s="10"/>
      <c r="M276" s="12"/>
      <c r="N276" s="9" t="str">
        <f aca="false">IF(C276="","",IF(AND(H276="Có",I276="Có"),"1. Làm ngay",IF(H276="Có","2. Lên lịch",IF(I276="Có","3. Giao lại","4. Để sau"))))</f>
        <v/>
      </c>
      <c r="O276" s="9" t="str">
        <f aca="true">IF(OR(C276="",J276="",K276="Hoàn thành"),"",J276-TODAY())</f>
        <v/>
      </c>
      <c r="P276" s="9" t="str">
        <f aca="true">IF(C276="","",IF(K276="Hoàn thành",IF(OR(L276="",J276=""),"Xong (thiếu ngày)",IF(L276&lt;=J276,"Xong đúng hạn","Xong trễ")),IF(J276="","Chưa có hạn",IF(J276&lt;TODAY(),"Quá hạn",IF(J276=TODAY(),"Đến hạn hôm nay",IF(J276-TODAY()&lt;=3,"Sắp đến hạn","Trong hạn"))))))</f>
        <v/>
      </c>
      <c r="Q276" s="9" t="str">
        <f aca="false">IF(OR(C276="",J276=""),"",WEEKNUM(J276,21))</f>
        <v/>
      </c>
      <c r="R276" s="2"/>
      <c r="S276" s="9" t="str">
        <f aca="true">IF(AND(C276&lt;&gt;"",K276&lt;&gt;"Hoàn thành",J276&lt;&gt;"",J276&lt;=TODAY()),MAX(S$5:S275)+1,"")</f>
        <v/>
      </c>
      <c r="T276" s="9" t="str">
        <f aca="false">IF(AND(C276&lt;&gt;"",IF(K276="","Chưa làm",K276)="Chưa làm"),MAX(T$5:T275)+1,"")</f>
        <v/>
      </c>
      <c r="U276" s="9" t="str">
        <f aca="false">IF(AND(C276&lt;&gt;"",IF(K276="","Chưa làm",K276)="Đang làm"),MAX(U$5:U275)+1,"")</f>
        <v/>
      </c>
      <c r="V276" s="9" t="str">
        <f aca="false">IF(AND(C276&lt;&gt;"",IF(K276="","Chưa làm",K276)="Chờ duyệt"),MAX(V$5:V275)+1,"")</f>
        <v/>
      </c>
      <c r="W276" s="9" t="str">
        <f aca="false">IF(AND(C276&lt;&gt;"",IF(K276="","Chưa làm",K276)="Hoàn thành"),MAX(W$5:W275)+1,"")</f>
        <v/>
      </c>
      <c r="X276" s="9" t="str">
        <f aca="false">IF(AND(C276&lt;&gt;"",K276&lt;&gt;"Hoàn thành",N276="1. Làm ngay"),MAX(X$5:X275)+1,"")</f>
        <v/>
      </c>
      <c r="Y276" s="9" t="str">
        <f aca="false">IF(AND(C276&lt;&gt;"",K276&lt;&gt;"Hoàn thành",N276="2. Lên lịch"),MAX(Y$5:Y275)+1,"")</f>
        <v/>
      </c>
      <c r="Z276" s="9" t="str">
        <f aca="false">IF(AND(C276&lt;&gt;"",K276&lt;&gt;"Hoàn thành",N276="3. Giao lại"),MAX(Z$5:Z275)+1,"")</f>
        <v/>
      </c>
      <c r="AA276" s="9" t="str">
        <f aca="false">IF(AND(C276&lt;&gt;"",K276&lt;&gt;"Hoàn thành",N276="4. Để sau"),MAX(AA$5:AA275)+1,"")</f>
        <v/>
      </c>
      <c r="AB276" s="9" t="str">
        <f aca="false">IF(AND(C276&lt;&gt;"",J276&lt;&gt;"",J276&gt;=TUAN!$C$3,J276&lt;=TUAN!$C$3+6),MAX(AB$5:AB275)+1,"")</f>
        <v/>
      </c>
    </row>
    <row r="277" customFormat="false" ht="15" hidden="false" customHeight="false" outlineLevel="0" collapsed="false">
      <c r="A277" s="9" t="str">
        <f aca="false">IF(C277="","","CV"&amp;TEXT(ROW()-5,"000"))</f>
        <v/>
      </c>
      <c r="B277" s="10"/>
      <c r="C277" s="11"/>
      <c r="D277" s="12"/>
      <c r="E277" s="12"/>
      <c r="F277" s="12"/>
      <c r="G277" s="12"/>
      <c r="H277" s="12"/>
      <c r="I277" s="12"/>
      <c r="J277" s="10"/>
      <c r="K277" s="12"/>
      <c r="L277" s="10"/>
      <c r="M277" s="12"/>
      <c r="N277" s="9" t="str">
        <f aca="false">IF(C277="","",IF(AND(H277="Có",I277="Có"),"1. Làm ngay",IF(H277="Có","2. Lên lịch",IF(I277="Có","3. Giao lại","4. Để sau"))))</f>
        <v/>
      </c>
      <c r="O277" s="9" t="str">
        <f aca="true">IF(OR(C277="",J277="",K277="Hoàn thành"),"",J277-TODAY())</f>
        <v/>
      </c>
      <c r="P277" s="9" t="str">
        <f aca="true">IF(C277="","",IF(K277="Hoàn thành",IF(OR(L277="",J277=""),"Xong (thiếu ngày)",IF(L277&lt;=J277,"Xong đúng hạn","Xong trễ")),IF(J277="","Chưa có hạn",IF(J277&lt;TODAY(),"Quá hạn",IF(J277=TODAY(),"Đến hạn hôm nay",IF(J277-TODAY()&lt;=3,"Sắp đến hạn","Trong hạn"))))))</f>
        <v/>
      </c>
      <c r="Q277" s="9" t="str">
        <f aca="false">IF(OR(C277="",J277=""),"",WEEKNUM(J277,21))</f>
        <v/>
      </c>
      <c r="R277" s="2"/>
      <c r="S277" s="9" t="str">
        <f aca="true">IF(AND(C277&lt;&gt;"",K277&lt;&gt;"Hoàn thành",J277&lt;&gt;"",J277&lt;=TODAY()),MAX(S$5:S276)+1,"")</f>
        <v/>
      </c>
      <c r="T277" s="9" t="str">
        <f aca="false">IF(AND(C277&lt;&gt;"",IF(K277="","Chưa làm",K277)="Chưa làm"),MAX(T$5:T276)+1,"")</f>
        <v/>
      </c>
      <c r="U277" s="9" t="str">
        <f aca="false">IF(AND(C277&lt;&gt;"",IF(K277="","Chưa làm",K277)="Đang làm"),MAX(U$5:U276)+1,"")</f>
        <v/>
      </c>
      <c r="V277" s="9" t="str">
        <f aca="false">IF(AND(C277&lt;&gt;"",IF(K277="","Chưa làm",K277)="Chờ duyệt"),MAX(V$5:V276)+1,"")</f>
        <v/>
      </c>
      <c r="W277" s="9" t="str">
        <f aca="false">IF(AND(C277&lt;&gt;"",IF(K277="","Chưa làm",K277)="Hoàn thành"),MAX(W$5:W276)+1,"")</f>
        <v/>
      </c>
      <c r="X277" s="9" t="str">
        <f aca="false">IF(AND(C277&lt;&gt;"",K277&lt;&gt;"Hoàn thành",N277="1. Làm ngay"),MAX(X$5:X276)+1,"")</f>
        <v/>
      </c>
      <c r="Y277" s="9" t="str">
        <f aca="false">IF(AND(C277&lt;&gt;"",K277&lt;&gt;"Hoàn thành",N277="2. Lên lịch"),MAX(Y$5:Y276)+1,"")</f>
        <v/>
      </c>
      <c r="Z277" s="9" t="str">
        <f aca="false">IF(AND(C277&lt;&gt;"",K277&lt;&gt;"Hoàn thành",N277="3. Giao lại"),MAX(Z$5:Z276)+1,"")</f>
        <v/>
      </c>
      <c r="AA277" s="9" t="str">
        <f aca="false">IF(AND(C277&lt;&gt;"",K277&lt;&gt;"Hoàn thành",N277="4. Để sau"),MAX(AA$5:AA276)+1,"")</f>
        <v/>
      </c>
      <c r="AB277" s="9" t="str">
        <f aca="false">IF(AND(C277&lt;&gt;"",J277&lt;&gt;"",J277&gt;=TUAN!$C$3,J277&lt;=TUAN!$C$3+6),MAX(AB$5:AB276)+1,"")</f>
        <v/>
      </c>
    </row>
    <row r="278" customFormat="false" ht="15" hidden="false" customHeight="false" outlineLevel="0" collapsed="false">
      <c r="A278" s="9" t="str">
        <f aca="false">IF(C278="","","CV"&amp;TEXT(ROW()-5,"000"))</f>
        <v/>
      </c>
      <c r="B278" s="10"/>
      <c r="C278" s="11"/>
      <c r="D278" s="12"/>
      <c r="E278" s="12"/>
      <c r="F278" s="12"/>
      <c r="G278" s="12"/>
      <c r="H278" s="12"/>
      <c r="I278" s="12"/>
      <c r="J278" s="10"/>
      <c r="K278" s="12"/>
      <c r="L278" s="10"/>
      <c r="M278" s="12"/>
      <c r="N278" s="9" t="str">
        <f aca="false">IF(C278="","",IF(AND(H278="Có",I278="Có"),"1. Làm ngay",IF(H278="Có","2. Lên lịch",IF(I278="Có","3. Giao lại","4. Để sau"))))</f>
        <v/>
      </c>
      <c r="O278" s="9" t="str">
        <f aca="true">IF(OR(C278="",J278="",K278="Hoàn thành"),"",J278-TODAY())</f>
        <v/>
      </c>
      <c r="P278" s="9" t="str">
        <f aca="true">IF(C278="","",IF(K278="Hoàn thành",IF(OR(L278="",J278=""),"Xong (thiếu ngày)",IF(L278&lt;=J278,"Xong đúng hạn","Xong trễ")),IF(J278="","Chưa có hạn",IF(J278&lt;TODAY(),"Quá hạn",IF(J278=TODAY(),"Đến hạn hôm nay",IF(J278-TODAY()&lt;=3,"Sắp đến hạn","Trong hạn"))))))</f>
        <v/>
      </c>
      <c r="Q278" s="9" t="str">
        <f aca="false">IF(OR(C278="",J278=""),"",WEEKNUM(J278,21))</f>
        <v/>
      </c>
      <c r="R278" s="2"/>
      <c r="S278" s="9" t="str">
        <f aca="true">IF(AND(C278&lt;&gt;"",K278&lt;&gt;"Hoàn thành",J278&lt;&gt;"",J278&lt;=TODAY()),MAX(S$5:S277)+1,"")</f>
        <v/>
      </c>
      <c r="T278" s="9" t="str">
        <f aca="false">IF(AND(C278&lt;&gt;"",IF(K278="","Chưa làm",K278)="Chưa làm"),MAX(T$5:T277)+1,"")</f>
        <v/>
      </c>
      <c r="U278" s="9" t="str">
        <f aca="false">IF(AND(C278&lt;&gt;"",IF(K278="","Chưa làm",K278)="Đang làm"),MAX(U$5:U277)+1,"")</f>
        <v/>
      </c>
      <c r="V278" s="9" t="str">
        <f aca="false">IF(AND(C278&lt;&gt;"",IF(K278="","Chưa làm",K278)="Chờ duyệt"),MAX(V$5:V277)+1,"")</f>
        <v/>
      </c>
      <c r="W278" s="9" t="str">
        <f aca="false">IF(AND(C278&lt;&gt;"",IF(K278="","Chưa làm",K278)="Hoàn thành"),MAX(W$5:W277)+1,"")</f>
        <v/>
      </c>
      <c r="X278" s="9" t="str">
        <f aca="false">IF(AND(C278&lt;&gt;"",K278&lt;&gt;"Hoàn thành",N278="1. Làm ngay"),MAX(X$5:X277)+1,"")</f>
        <v/>
      </c>
      <c r="Y278" s="9" t="str">
        <f aca="false">IF(AND(C278&lt;&gt;"",K278&lt;&gt;"Hoàn thành",N278="2. Lên lịch"),MAX(Y$5:Y277)+1,"")</f>
        <v/>
      </c>
      <c r="Z278" s="9" t="str">
        <f aca="false">IF(AND(C278&lt;&gt;"",K278&lt;&gt;"Hoàn thành",N278="3. Giao lại"),MAX(Z$5:Z277)+1,"")</f>
        <v/>
      </c>
      <c r="AA278" s="9" t="str">
        <f aca="false">IF(AND(C278&lt;&gt;"",K278&lt;&gt;"Hoàn thành",N278="4. Để sau"),MAX(AA$5:AA277)+1,"")</f>
        <v/>
      </c>
      <c r="AB278" s="9" t="str">
        <f aca="false">IF(AND(C278&lt;&gt;"",J278&lt;&gt;"",J278&gt;=TUAN!$C$3,J278&lt;=TUAN!$C$3+6),MAX(AB$5:AB277)+1,"")</f>
        <v/>
      </c>
    </row>
    <row r="279" customFormat="false" ht="15" hidden="false" customHeight="false" outlineLevel="0" collapsed="false">
      <c r="A279" s="9" t="str">
        <f aca="false">IF(C279="","","CV"&amp;TEXT(ROW()-5,"000"))</f>
        <v/>
      </c>
      <c r="B279" s="10"/>
      <c r="C279" s="11"/>
      <c r="D279" s="12"/>
      <c r="E279" s="12"/>
      <c r="F279" s="12"/>
      <c r="G279" s="12"/>
      <c r="H279" s="12"/>
      <c r="I279" s="12"/>
      <c r="J279" s="10"/>
      <c r="K279" s="12"/>
      <c r="L279" s="10"/>
      <c r="M279" s="12"/>
      <c r="N279" s="9" t="str">
        <f aca="false">IF(C279="","",IF(AND(H279="Có",I279="Có"),"1. Làm ngay",IF(H279="Có","2. Lên lịch",IF(I279="Có","3. Giao lại","4. Để sau"))))</f>
        <v/>
      </c>
      <c r="O279" s="9" t="str">
        <f aca="true">IF(OR(C279="",J279="",K279="Hoàn thành"),"",J279-TODAY())</f>
        <v/>
      </c>
      <c r="P279" s="9" t="str">
        <f aca="true">IF(C279="","",IF(K279="Hoàn thành",IF(OR(L279="",J279=""),"Xong (thiếu ngày)",IF(L279&lt;=J279,"Xong đúng hạn","Xong trễ")),IF(J279="","Chưa có hạn",IF(J279&lt;TODAY(),"Quá hạn",IF(J279=TODAY(),"Đến hạn hôm nay",IF(J279-TODAY()&lt;=3,"Sắp đến hạn","Trong hạn"))))))</f>
        <v/>
      </c>
      <c r="Q279" s="9" t="str">
        <f aca="false">IF(OR(C279="",J279=""),"",WEEKNUM(J279,21))</f>
        <v/>
      </c>
      <c r="R279" s="2"/>
      <c r="S279" s="9" t="str">
        <f aca="true">IF(AND(C279&lt;&gt;"",K279&lt;&gt;"Hoàn thành",J279&lt;&gt;"",J279&lt;=TODAY()),MAX(S$5:S278)+1,"")</f>
        <v/>
      </c>
      <c r="T279" s="9" t="str">
        <f aca="false">IF(AND(C279&lt;&gt;"",IF(K279="","Chưa làm",K279)="Chưa làm"),MAX(T$5:T278)+1,"")</f>
        <v/>
      </c>
      <c r="U279" s="9" t="str">
        <f aca="false">IF(AND(C279&lt;&gt;"",IF(K279="","Chưa làm",K279)="Đang làm"),MAX(U$5:U278)+1,"")</f>
        <v/>
      </c>
      <c r="V279" s="9" t="str">
        <f aca="false">IF(AND(C279&lt;&gt;"",IF(K279="","Chưa làm",K279)="Chờ duyệt"),MAX(V$5:V278)+1,"")</f>
        <v/>
      </c>
      <c r="W279" s="9" t="str">
        <f aca="false">IF(AND(C279&lt;&gt;"",IF(K279="","Chưa làm",K279)="Hoàn thành"),MAX(W$5:W278)+1,"")</f>
        <v/>
      </c>
      <c r="X279" s="9" t="str">
        <f aca="false">IF(AND(C279&lt;&gt;"",K279&lt;&gt;"Hoàn thành",N279="1. Làm ngay"),MAX(X$5:X278)+1,"")</f>
        <v/>
      </c>
      <c r="Y279" s="9" t="str">
        <f aca="false">IF(AND(C279&lt;&gt;"",K279&lt;&gt;"Hoàn thành",N279="2. Lên lịch"),MAX(Y$5:Y278)+1,"")</f>
        <v/>
      </c>
      <c r="Z279" s="9" t="str">
        <f aca="false">IF(AND(C279&lt;&gt;"",K279&lt;&gt;"Hoàn thành",N279="3. Giao lại"),MAX(Z$5:Z278)+1,"")</f>
        <v/>
      </c>
      <c r="AA279" s="9" t="str">
        <f aca="false">IF(AND(C279&lt;&gt;"",K279&lt;&gt;"Hoàn thành",N279="4. Để sau"),MAX(AA$5:AA278)+1,"")</f>
        <v/>
      </c>
      <c r="AB279" s="9" t="str">
        <f aca="false">IF(AND(C279&lt;&gt;"",J279&lt;&gt;"",J279&gt;=TUAN!$C$3,J279&lt;=TUAN!$C$3+6),MAX(AB$5:AB278)+1,"")</f>
        <v/>
      </c>
    </row>
    <row r="280" customFormat="false" ht="15" hidden="false" customHeight="false" outlineLevel="0" collapsed="false">
      <c r="A280" s="9" t="str">
        <f aca="false">IF(C280="","","CV"&amp;TEXT(ROW()-5,"000"))</f>
        <v/>
      </c>
      <c r="B280" s="10"/>
      <c r="C280" s="11"/>
      <c r="D280" s="12"/>
      <c r="E280" s="12"/>
      <c r="F280" s="12"/>
      <c r="G280" s="12"/>
      <c r="H280" s="12"/>
      <c r="I280" s="12"/>
      <c r="J280" s="10"/>
      <c r="K280" s="12"/>
      <c r="L280" s="10"/>
      <c r="M280" s="12"/>
      <c r="N280" s="9" t="str">
        <f aca="false">IF(C280="","",IF(AND(H280="Có",I280="Có"),"1. Làm ngay",IF(H280="Có","2. Lên lịch",IF(I280="Có","3. Giao lại","4. Để sau"))))</f>
        <v/>
      </c>
      <c r="O280" s="9" t="str">
        <f aca="true">IF(OR(C280="",J280="",K280="Hoàn thành"),"",J280-TODAY())</f>
        <v/>
      </c>
      <c r="P280" s="9" t="str">
        <f aca="true">IF(C280="","",IF(K280="Hoàn thành",IF(OR(L280="",J280=""),"Xong (thiếu ngày)",IF(L280&lt;=J280,"Xong đúng hạn","Xong trễ")),IF(J280="","Chưa có hạn",IF(J280&lt;TODAY(),"Quá hạn",IF(J280=TODAY(),"Đến hạn hôm nay",IF(J280-TODAY()&lt;=3,"Sắp đến hạn","Trong hạn"))))))</f>
        <v/>
      </c>
      <c r="Q280" s="9" t="str">
        <f aca="false">IF(OR(C280="",J280=""),"",WEEKNUM(J280,21))</f>
        <v/>
      </c>
      <c r="R280" s="2"/>
      <c r="S280" s="9" t="str">
        <f aca="true">IF(AND(C280&lt;&gt;"",K280&lt;&gt;"Hoàn thành",J280&lt;&gt;"",J280&lt;=TODAY()),MAX(S$5:S279)+1,"")</f>
        <v/>
      </c>
      <c r="T280" s="9" t="str">
        <f aca="false">IF(AND(C280&lt;&gt;"",IF(K280="","Chưa làm",K280)="Chưa làm"),MAX(T$5:T279)+1,"")</f>
        <v/>
      </c>
      <c r="U280" s="9" t="str">
        <f aca="false">IF(AND(C280&lt;&gt;"",IF(K280="","Chưa làm",K280)="Đang làm"),MAX(U$5:U279)+1,"")</f>
        <v/>
      </c>
      <c r="V280" s="9" t="str">
        <f aca="false">IF(AND(C280&lt;&gt;"",IF(K280="","Chưa làm",K280)="Chờ duyệt"),MAX(V$5:V279)+1,"")</f>
        <v/>
      </c>
      <c r="W280" s="9" t="str">
        <f aca="false">IF(AND(C280&lt;&gt;"",IF(K280="","Chưa làm",K280)="Hoàn thành"),MAX(W$5:W279)+1,"")</f>
        <v/>
      </c>
      <c r="X280" s="9" t="str">
        <f aca="false">IF(AND(C280&lt;&gt;"",K280&lt;&gt;"Hoàn thành",N280="1. Làm ngay"),MAX(X$5:X279)+1,"")</f>
        <v/>
      </c>
      <c r="Y280" s="9" t="str">
        <f aca="false">IF(AND(C280&lt;&gt;"",K280&lt;&gt;"Hoàn thành",N280="2. Lên lịch"),MAX(Y$5:Y279)+1,"")</f>
        <v/>
      </c>
      <c r="Z280" s="9" t="str">
        <f aca="false">IF(AND(C280&lt;&gt;"",K280&lt;&gt;"Hoàn thành",N280="3. Giao lại"),MAX(Z$5:Z279)+1,"")</f>
        <v/>
      </c>
      <c r="AA280" s="9" t="str">
        <f aca="false">IF(AND(C280&lt;&gt;"",K280&lt;&gt;"Hoàn thành",N280="4. Để sau"),MAX(AA$5:AA279)+1,"")</f>
        <v/>
      </c>
      <c r="AB280" s="9" t="str">
        <f aca="false">IF(AND(C280&lt;&gt;"",J280&lt;&gt;"",J280&gt;=TUAN!$C$3,J280&lt;=TUAN!$C$3+6),MAX(AB$5:AB279)+1,"")</f>
        <v/>
      </c>
    </row>
    <row r="281" customFormat="false" ht="15" hidden="false" customHeight="false" outlineLevel="0" collapsed="false">
      <c r="A281" s="9" t="str">
        <f aca="false">IF(C281="","","CV"&amp;TEXT(ROW()-5,"000"))</f>
        <v/>
      </c>
      <c r="B281" s="10"/>
      <c r="C281" s="11"/>
      <c r="D281" s="12"/>
      <c r="E281" s="12"/>
      <c r="F281" s="12"/>
      <c r="G281" s="12"/>
      <c r="H281" s="12"/>
      <c r="I281" s="12"/>
      <c r="J281" s="10"/>
      <c r="K281" s="12"/>
      <c r="L281" s="10"/>
      <c r="M281" s="12"/>
      <c r="N281" s="9" t="str">
        <f aca="false">IF(C281="","",IF(AND(H281="Có",I281="Có"),"1. Làm ngay",IF(H281="Có","2. Lên lịch",IF(I281="Có","3. Giao lại","4. Để sau"))))</f>
        <v/>
      </c>
      <c r="O281" s="9" t="str">
        <f aca="true">IF(OR(C281="",J281="",K281="Hoàn thành"),"",J281-TODAY())</f>
        <v/>
      </c>
      <c r="P281" s="9" t="str">
        <f aca="true">IF(C281="","",IF(K281="Hoàn thành",IF(OR(L281="",J281=""),"Xong (thiếu ngày)",IF(L281&lt;=J281,"Xong đúng hạn","Xong trễ")),IF(J281="","Chưa có hạn",IF(J281&lt;TODAY(),"Quá hạn",IF(J281=TODAY(),"Đến hạn hôm nay",IF(J281-TODAY()&lt;=3,"Sắp đến hạn","Trong hạn"))))))</f>
        <v/>
      </c>
      <c r="Q281" s="9" t="str">
        <f aca="false">IF(OR(C281="",J281=""),"",WEEKNUM(J281,21))</f>
        <v/>
      </c>
      <c r="R281" s="2"/>
      <c r="S281" s="9" t="str">
        <f aca="true">IF(AND(C281&lt;&gt;"",K281&lt;&gt;"Hoàn thành",J281&lt;&gt;"",J281&lt;=TODAY()),MAX(S$5:S280)+1,"")</f>
        <v/>
      </c>
      <c r="T281" s="9" t="str">
        <f aca="false">IF(AND(C281&lt;&gt;"",IF(K281="","Chưa làm",K281)="Chưa làm"),MAX(T$5:T280)+1,"")</f>
        <v/>
      </c>
      <c r="U281" s="9" t="str">
        <f aca="false">IF(AND(C281&lt;&gt;"",IF(K281="","Chưa làm",K281)="Đang làm"),MAX(U$5:U280)+1,"")</f>
        <v/>
      </c>
      <c r="V281" s="9" t="str">
        <f aca="false">IF(AND(C281&lt;&gt;"",IF(K281="","Chưa làm",K281)="Chờ duyệt"),MAX(V$5:V280)+1,"")</f>
        <v/>
      </c>
      <c r="W281" s="9" t="str">
        <f aca="false">IF(AND(C281&lt;&gt;"",IF(K281="","Chưa làm",K281)="Hoàn thành"),MAX(W$5:W280)+1,"")</f>
        <v/>
      </c>
      <c r="X281" s="9" t="str">
        <f aca="false">IF(AND(C281&lt;&gt;"",K281&lt;&gt;"Hoàn thành",N281="1. Làm ngay"),MAX(X$5:X280)+1,"")</f>
        <v/>
      </c>
      <c r="Y281" s="9" t="str">
        <f aca="false">IF(AND(C281&lt;&gt;"",K281&lt;&gt;"Hoàn thành",N281="2. Lên lịch"),MAX(Y$5:Y280)+1,"")</f>
        <v/>
      </c>
      <c r="Z281" s="9" t="str">
        <f aca="false">IF(AND(C281&lt;&gt;"",K281&lt;&gt;"Hoàn thành",N281="3. Giao lại"),MAX(Z$5:Z280)+1,"")</f>
        <v/>
      </c>
      <c r="AA281" s="9" t="str">
        <f aca="false">IF(AND(C281&lt;&gt;"",K281&lt;&gt;"Hoàn thành",N281="4. Để sau"),MAX(AA$5:AA280)+1,"")</f>
        <v/>
      </c>
      <c r="AB281" s="9" t="str">
        <f aca="false">IF(AND(C281&lt;&gt;"",J281&lt;&gt;"",J281&gt;=TUAN!$C$3,J281&lt;=TUAN!$C$3+6),MAX(AB$5:AB280)+1,"")</f>
        <v/>
      </c>
    </row>
    <row r="282" customFormat="false" ht="15" hidden="false" customHeight="false" outlineLevel="0" collapsed="false">
      <c r="A282" s="9" t="str">
        <f aca="false">IF(C282="","","CV"&amp;TEXT(ROW()-5,"000"))</f>
        <v/>
      </c>
      <c r="B282" s="10"/>
      <c r="C282" s="11"/>
      <c r="D282" s="12"/>
      <c r="E282" s="12"/>
      <c r="F282" s="12"/>
      <c r="G282" s="12"/>
      <c r="H282" s="12"/>
      <c r="I282" s="12"/>
      <c r="J282" s="10"/>
      <c r="K282" s="12"/>
      <c r="L282" s="10"/>
      <c r="M282" s="12"/>
      <c r="N282" s="9" t="str">
        <f aca="false">IF(C282="","",IF(AND(H282="Có",I282="Có"),"1. Làm ngay",IF(H282="Có","2. Lên lịch",IF(I282="Có","3. Giao lại","4. Để sau"))))</f>
        <v/>
      </c>
      <c r="O282" s="9" t="str">
        <f aca="true">IF(OR(C282="",J282="",K282="Hoàn thành"),"",J282-TODAY())</f>
        <v/>
      </c>
      <c r="P282" s="9" t="str">
        <f aca="true">IF(C282="","",IF(K282="Hoàn thành",IF(OR(L282="",J282=""),"Xong (thiếu ngày)",IF(L282&lt;=J282,"Xong đúng hạn","Xong trễ")),IF(J282="","Chưa có hạn",IF(J282&lt;TODAY(),"Quá hạn",IF(J282=TODAY(),"Đến hạn hôm nay",IF(J282-TODAY()&lt;=3,"Sắp đến hạn","Trong hạn"))))))</f>
        <v/>
      </c>
      <c r="Q282" s="9" t="str">
        <f aca="false">IF(OR(C282="",J282=""),"",WEEKNUM(J282,21))</f>
        <v/>
      </c>
      <c r="R282" s="2"/>
      <c r="S282" s="9" t="str">
        <f aca="true">IF(AND(C282&lt;&gt;"",K282&lt;&gt;"Hoàn thành",J282&lt;&gt;"",J282&lt;=TODAY()),MAX(S$5:S281)+1,"")</f>
        <v/>
      </c>
      <c r="T282" s="9" t="str">
        <f aca="false">IF(AND(C282&lt;&gt;"",IF(K282="","Chưa làm",K282)="Chưa làm"),MAX(T$5:T281)+1,"")</f>
        <v/>
      </c>
      <c r="U282" s="9" t="str">
        <f aca="false">IF(AND(C282&lt;&gt;"",IF(K282="","Chưa làm",K282)="Đang làm"),MAX(U$5:U281)+1,"")</f>
        <v/>
      </c>
      <c r="V282" s="9" t="str">
        <f aca="false">IF(AND(C282&lt;&gt;"",IF(K282="","Chưa làm",K282)="Chờ duyệt"),MAX(V$5:V281)+1,"")</f>
        <v/>
      </c>
      <c r="W282" s="9" t="str">
        <f aca="false">IF(AND(C282&lt;&gt;"",IF(K282="","Chưa làm",K282)="Hoàn thành"),MAX(W$5:W281)+1,"")</f>
        <v/>
      </c>
      <c r="X282" s="9" t="str">
        <f aca="false">IF(AND(C282&lt;&gt;"",K282&lt;&gt;"Hoàn thành",N282="1. Làm ngay"),MAX(X$5:X281)+1,"")</f>
        <v/>
      </c>
      <c r="Y282" s="9" t="str">
        <f aca="false">IF(AND(C282&lt;&gt;"",K282&lt;&gt;"Hoàn thành",N282="2. Lên lịch"),MAX(Y$5:Y281)+1,"")</f>
        <v/>
      </c>
      <c r="Z282" s="9" t="str">
        <f aca="false">IF(AND(C282&lt;&gt;"",K282&lt;&gt;"Hoàn thành",N282="3. Giao lại"),MAX(Z$5:Z281)+1,"")</f>
        <v/>
      </c>
      <c r="AA282" s="9" t="str">
        <f aca="false">IF(AND(C282&lt;&gt;"",K282&lt;&gt;"Hoàn thành",N282="4. Để sau"),MAX(AA$5:AA281)+1,"")</f>
        <v/>
      </c>
      <c r="AB282" s="9" t="str">
        <f aca="false">IF(AND(C282&lt;&gt;"",J282&lt;&gt;"",J282&gt;=TUAN!$C$3,J282&lt;=TUAN!$C$3+6),MAX(AB$5:AB281)+1,"")</f>
        <v/>
      </c>
    </row>
    <row r="283" customFormat="false" ht="15" hidden="false" customHeight="false" outlineLevel="0" collapsed="false">
      <c r="A283" s="9" t="str">
        <f aca="false">IF(C283="","","CV"&amp;TEXT(ROW()-5,"000"))</f>
        <v/>
      </c>
      <c r="B283" s="10"/>
      <c r="C283" s="11"/>
      <c r="D283" s="12"/>
      <c r="E283" s="12"/>
      <c r="F283" s="12"/>
      <c r="G283" s="12"/>
      <c r="H283" s="12"/>
      <c r="I283" s="12"/>
      <c r="J283" s="10"/>
      <c r="K283" s="12"/>
      <c r="L283" s="10"/>
      <c r="M283" s="12"/>
      <c r="N283" s="9" t="str">
        <f aca="false">IF(C283="","",IF(AND(H283="Có",I283="Có"),"1. Làm ngay",IF(H283="Có","2. Lên lịch",IF(I283="Có","3. Giao lại","4. Để sau"))))</f>
        <v/>
      </c>
      <c r="O283" s="9" t="str">
        <f aca="true">IF(OR(C283="",J283="",K283="Hoàn thành"),"",J283-TODAY())</f>
        <v/>
      </c>
      <c r="P283" s="9" t="str">
        <f aca="true">IF(C283="","",IF(K283="Hoàn thành",IF(OR(L283="",J283=""),"Xong (thiếu ngày)",IF(L283&lt;=J283,"Xong đúng hạn","Xong trễ")),IF(J283="","Chưa có hạn",IF(J283&lt;TODAY(),"Quá hạn",IF(J283=TODAY(),"Đến hạn hôm nay",IF(J283-TODAY()&lt;=3,"Sắp đến hạn","Trong hạn"))))))</f>
        <v/>
      </c>
      <c r="Q283" s="9" t="str">
        <f aca="false">IF(OR(C283="",J283=""),"",WEEKNUM(J283,21))</f>
        <v/>
      </c>
      <c r="R283" s="2"/>
      <c r="S283" s="9" t="str">
        <f aca="true">IF(AND(C283&lt;&gt;"",K283&lt;&gt;"Hoàn thành",J283&lt;&gt;"",J283&lt;=TODAY()),MAX(S$5:S282)+1,"")</f>
        <v/>
      </c>
      <c r="T283" s="9" t="str">
        <f aca="false">IF(AND(C283&lt;&gt;"",IF(K283="","Chưa làm",K283)="Chưa làm"),MAX(T$5:T282)+1,"")</f>
        <v/>
      </c>
      <c r="U283" s="9" t="str">
        <f aca="false">IF(AND(C283&lt;&gt;"",IF(K283="","Chưa làm",K283)="Đang làm"),MAX(U$5:U282)+1,"")</f>
        <v/>
      </c>
      <c r="V283" s="9" t="str">
        <f aca="false">IF(AND(C283&lt;&gt;"",IF(K283="","Chưa làm",K283)="Chờ duyệt"),MAX(V$5:V282)+1,"")</f>
        <v/>
      </c>
      <c r="W283" s="9" t="str">
        <f aca="false">IF(AND(C283&lt;&gt;"",IF(K283="","Chưa làm",K283)="Hoàn thành"),MAX(W$5:W282)+1,"")</f>
        <v/>
      </c>
      <c r="X283" s="9" t="str">
        <f aca="false">IF(AND(C283&lt;&gt;"",K283&lt;&gt;"Hoàn thành",N283="1. Làm ngay"),MAX(X$5:X282)+1,"")</f>
        <v/>
      </c>
      <c r="Y283" s="9" t="str">
        <f aca="false">IF(AND(C283&lt;&gt;"",K283&lt;&gt;"Hoàn thành",N283="2. Lên lịch"),MAX(Y$5:Y282)+1,"")</f>
        <v/>
      </c>
      <c r="Z283" s="9" t="str">
        <f aca="false">IF(AND(C283&lt;&gt;"",K283&lt;&gt;"Hoàn thành",N283="3. Giao lại"),MAX(Z$5:Z282)+1,"")</f>
        <v/>
      </c>
      <c r="AA283" s="9" t="str">
        <f aca="false">IF(AND(C283&lt;&gt;"",K283&lt;&gt;"Hoàn thành",N283="4. Để sau"),MAX(AA$5:AA282)+1,"")</f>
        <v/>
      </c>
      <c r="AB283" s="9" t="str">
        <f aca="false">IF(AND(C283&lt;&gt;"",J283&lt;&gt;"",J283&gt;=TUAN!$C$3,J283&lt;=TUAN!$C$3+6),MAX(AB$5:AB282)+1,"")</f>
        <v/>
      </c>
    </row>
    <row r="284" customFormat="false" ht="15" hidden="false" customHeight="false" outlineLevel="0" collapsed="false">
      <c r="A284" s="9" t="str">
        <f aca="false">IF(C284="","","CV"&amp;TEXT(ROW()-5,"000"))</f>
        <v/>
      </c>
      <c r="B284" s="10"/>
      <c r="C284" s="11"/>
      <c r="D284" s="12"/>
      <c r="E284" s="12"/>
      <c r="F284" s="12"/>
      <c r="G284" s="12"/>
      <c r="H284" s="12"/>
      <c r="I284" s="12"/>
      <c r="J284" s="10"/>
      <c r="K284" s="12"/>
      <c r="L284" s="10"/>
      <c r="M284" s="12"/>
      <c r="N284" s="9" t="str">
        <f aca="false">IF(C284="","",IF(AND(H284="Có",I284="Có"),"1. Làm ngay",IF(H284="Có","2. Lên lịch",IF(I284="Có","3. Giao lại","4. Để sau"))))</f>
        <v/>
      </c>
      <c r="O284" s="9" t="str">
        <f aca="true">IF(OR(C284="",J284="",K284="Hoàn thành"),"",J284-TODAY())</f>
        <v/>
      </c>
      <c r="P284" s="9" t="str">
        <f aca="true">IF(C284="","",IF(K284="Hoàn thành",IF(OR(L284="",J284=""),"Xong (thiếu ngày)",IF(L284&lt;=J284,"Xong đúng hạn","Xong trễ")),IF(J284="","Chưa có hạn",IF(J284&lt;TODAY(),"Quá hạn",IF(J284=TODAY(),"Đến hạn hôm nay",IF(J284-TODAY()&lt;=3,"Sắp đến hạn","Trong hạn"))))))</f>
        <v/>
      </c>
      <c r="Q284" s="9" t="str">
        <f aca="false">IF(OR(C284="",J284=""),"",WEEKNUM(J284,21))</f>
        <v/>
      </c>
      <c r="R284" s="2"/>
      <c r="S284" s="9" t="str">
        <f aca="true">IF(AND(C284&lt;&gt;"",K284&lt;&gt;"Hoàn thành",J284&lt;&gt;"",J284&lt;=TODAY()),MAX(S$5:S283)+1,"")</f>
        <v/>
      </c>
      <c r="T284" s="9" t="str">
        <f aca="false">IF(AND(C284&lt;&gt;"",IF(K284="","Chưa làm",K284)="Chưa làm"),MAX(T$5:T283)+1,"")</f>
        <v/>
      </c>
      <c r="U284" s="9" t="str">
        <f aca="false">IF(AND(C284&lt;&gt;"",IF(K284="","Chưa làm",K284)="Đang làm"),MAX(U$5:U283)+1,"")</f>
        <v/>
      </c>
      <c r="V284" s="9" t="str">
        <f aca="false">IF(AND(C284&lt;&gt;"",IF(K284="","Chưa làm",K284)="Chờ duyệt"),MAX(V$5:V283)+1,"")</f>
        <v/>
      </c>
      <c r="W284" s="9" t="str">
        <f aca="false">IF(AND(C284&lt;&gt;"",IF(K284="","Chưa làm",K284)="Hoàn thành"),MAX(W$5:W283)+1,"")</f>
        <v/>
      </c>
      <c r="X284" s="9" t="str">
        <f aca="false">IF(AND(C284&lt;&gt;"",K284&lt;&gt;"Hoàn thành",N284="1. Làm ngay"),MAX(X$5:X283)+1,"")</f>
        <v/>
      </c>
      <c r="Y284" s="9" t="str">
        <f aca="false">IF(AND(C284&lt;&gt;"",K284&lt;&gt;"Hoàn thành",N284="2. Lên lịch"),MAX(Y$5:Y283)+1,"")</f>
        <v/>
      </c>
      <c r="Z284" s="9" t="str">
        <f aca="false">IF(AND(C284&lt;&gt;"",K284&lt;&gt;"Hoàn thành",N284="3. Giao lại"),MAX(Z$5:Z283)+1,"")</f>
        <v/>
      </c>
      <c r="AA284" s="9" t="str">
        <f aca="false">IF(AND(C284&lt;&gt;"",K284&lt;&gt;"Hoàn thành",N284="4. Để sau"),MAX(AA$5:AA283)+1,"")</f>
        <v/>
      </c>
      <c r="AB284" s="9" t="str">
        <f aca="false">IF(AND(C284&lt;&gt;"",J284&lt;&gt;"",J284&gt;=TUAN!$C$3,J284&lt;=TUAN!$C$3+6),MAX(AB$5:AB283)+1,"")</f>
        <v/>
      </c>
    </row>
    <row r="285" customFormat="false" ht="15" hidden="false" customHeight="false" outlineLevel="0" collapsed="false">
      <c r="A285" s="9" t="str">
        <f aca="false">IF(C285="","","CV"&amp;TEXT(ROW()-5,"000"))</f>
        <v/>
      </c>
      <c r="B285" s="10"/>
      <c r="C285" s="11"/>
      <c r="D285" s="12"/>
      <c r="E285" s="12"/>
      <c r="F285" s="12"/>
      <c r="G285" s="12"/>
      <c r="H285" s="12"/>
      <c r="I285" s="12"/>
      <c r="J285" s="10"/>
      <c r="K285" s="12"/>
      <c r="L285" s="10"/>
      <c r="M285" s="12"/>
      <c r="N285" s="9" t="str">
        <f aca="false">IF(C285="","",IF(AND(H285="Có",I285="Có"),"1. Làm ngay",IF(H285="Có","2. Lên lịch",IF(I285="Có","3. Giao lại","4. Để sau"))))</f>
        <v/>
      </c>
      <c r="O285" s="9" t="str">
        <f aca="true">IF(OR(C285="",J285="",K285="Hoàn thành"),"",J285-TODAY())</f>
        <v/>
      </c>
      <c r="P285" s="9" t="str">
        <f aca="true">IF(C285="","",IF(K285="Hoàn thành",IF(OR(L285="",J285=""),"Xong (thiếu ngày)",IF(L285&lt;=J285,"Xong đúng hạn","Xong trễ")),IF(J285="","Chưa có hạn",IF(J285&lt;TODAY(),"Quá hạn",IF(J285=TODAY(),"Đến hạn hôm nay",IF(J285-TODAY()&lt;=3,"Sắp đến hạn","Trong hạn"))))))</f>
        <v/>
      </c>
      <c r="Q285" s="9" t="str">
        <f aca="false">IF(OR(C285="",J285=""),"",WEEKNUM(J285,21))</f>
        <v/>
      </c>
      <c r="R285" s="2"/>
      <c r="S285" s="9" t="str">
        <f aca="true">IF(AND(C285&lt;&gt;"",K285&lt;&gt;"Hoàn thành",J285&lt;&gt;"",J285&lt;=TODAY()),MAX(S$5:S284)+1,"")</f>
        <v/>
      </c>
      <c r="T285" s="9" t="str">
        <f aca="false">IF(AND(C285&lt;&gt;"",IF(K285="","Chưa làm",K285)="Chưa làm"),MAX(T$5:T284)+1,"")</f>
        <v/>
      </c>
      <c r="U285" s="9" t="str">
        <f aca="false">IF(AND(C285&lt;&gt;"",IF(K285="","Chưa làm",K285)="Đang làm"),MAX(U$5:U284)+1,"")</f>
        <v/>
      </c>
      <c r="V285" s="9" t="str">
        <f aca="false">IF(AND(C285&lt;&gt;"",IF(K285="","Chưa làm",K285)="Chờ duyệt"),MAX(V$5:V284)+1,"")</f>
        <v/>
      </c>
      <c r="W285" s="9" t="str">
        <f aca="false">IF(AND(C285&lt;&gt;"",IF(K285="","Chưa làm",K285)="Hoàn thành"),MAX(W$5:W284)+1,"")</f>
        <v/>
      </c>
      <c r="X285" s="9" t="str">
        <f aca="false">IF(AND(C285&lt;&gt;"",K285&lt;&gt;"Hoàn thành",N285="1. Làm ngay"),MAX(X$5:X284)+1,"")</f>
        <v/>
      </c>
      <c r="Y285" s="9" t="str">
        <f aca="false">IF(AND(C285&lt;&gt;"",K285&lt;&gt;"Hoàn thành",N285="2. Lên lịch"),MAX(Y$5:Y284)+1,"")</f>
        <v/>
      </c>
      <c r="Z285" s="9" t="str">
        <f aca="false">IF(AND(C285&lt;&gt;"",K285&lt;&gt;"Hoàn thành",N285="3. Giao lại"),MAX(Z$5:Z284)+1,"")</f>
        <v/>
      </c>
      <c r="AA285" s="9" t="str">
        <f aca="false">IF(AND(C285&lt;&gt;"",K285&lt;&gt;"Hoàn thành",N285="4. Để sau"),MAX(AA$5:AA284)+1,"")</f>
        <v/>
      </c>
      <c r="AB285" s="9" t="str">
        <f aca="false">IF(AND(C285&lt;&gt;"",J285&lt;&gt;"",J285&gt;=TUAN!$C$3,J285&lt;=TUAN!$C$3+6),MAX(AB$5:AB284)+1,"")</f>
        <v/>
      </c>
    </row>
    <row r="286" customFormat="false" ht="15" hidden="false" customHeight="false" outlineLevel="0" collapsed="false">
      <c r="A286" s="9" t="str">
        <f aca="false">IF(C286="","","CV"&amp;TEXT(ROW()-5,"000"))</f>
        <v/>
      </c>
      <c r="B286" s="10"/>
      <c r="C286" s="11"/>
      <c r="D286" s="12"/>
      <c r="E286" s="12"/>
      <c r="F286" s="12"/>
      <c r="G286" s="12"/>
      <c r="H286" s="12"/>
      <c r="I286" s="12"/>
      <c r="J286" s="10"/>
      <c r="K286" s="12"/>
      <c r="L286" s="10"/>
      <c r="M286" s="12"/>
      <c r="N286" s="9" t="str">
        <f aca="false">IF(C286="","",IF(AND(H286="Có",I286="Có"),"1. Làm ngay",IF(H286="Có","2. Lên lịch",IF(I286="Có","3. Giao lại","4. Để sau"))))</f>
        <v/>
      </c>
      <c r="O286" s="9" t="str">
        <f aca="true">IF(OR(C286="",J286="",K286="Hoàn thành"),"",J286-TODAY())</f>
        <v/>
      </c>
      <c r="P286" s="9" t="str">
        <f aca="true">IF(C286="","",IF(K286="Hoàn thành",IF(OR(L286="",J286=""),"Xong (thiếu ngày)",IF(L286&lt;=J286,"Xong đúng hạn","Xong trễ")),IF(J286="","Chưa có hạn",IF(J286&lt;TODAY(),"Quá hạn",IF(J286=TODAY(),"Đến hạn hôm nay",IF(J286-TODAY()&lt;=3,"Sắp đến hạn","Trong hạn"))))))</f>
        <v/>
      </c>
      <c r="Q286" s="9" t="str">
        <f aca="false">IF(OR(C286="",J286=""),"",WEEKNUM(J286,21))</f>
        <v/>
      </c>
      <c r="R286" s="2"/>
      <c r="S286" s="9" t="str">
        <f aca="true">IF(AND(C286&lt;&gt;"",K286&lt;&gt;"Hoàn thành",J286&lt;&gt;"",J286&lt;=TODAY()),MAX(S$5:S285)+1,"")</f>
        <v/>
      </c>
      <c r="T286" s="9" t="str">
        <f aca="false">IF(AND(C286&lt;&gt;"",IF(K286="","Chưa làm",K286)="Chưa làm"),MAX(T$5:T285)+1,"")</f>
        <v/>
      </c>
      <c r="U286" s="9" t="str">
        <f aca="false">IF(AND(C286&lt;&gt;"",IF(K286="","Chưa làm",K286)="Đang làm"),MAX(U$5:U285)+1,"")</f>
        <v/>
      </c>
      <c r="V286" s="9" t="str">
        <f aca="false">IF(AND(C286&lt;&gt;"",IF(K286="","Chưa làm",K286)="Chờ duyệt"),MAX(V$5:V285)+1,"")</f>
        <v/>
      </c>
      <c r="W286" s="9" t="str">
        <f aca="false">IF(AND(C286&lt;&gt;"",IF(K286="","Chưa làm",K286)="Hoàn thành"),MAX(W$5:W285)+1,"")</f>
        <v/>
      </c>
      <c r="X286" s="9" t="str">
        <f aca="false">IF(AND(C286&lt;&gt;"",K286&lt;&gt;"Hoàn thành",N286="1. Làm ngay"),MAX(X$5:X285)+1,"")</f>
        <v/>
      </c>
      <c r="Y286" s="9" t="str">
        <f aca="false">IF(AND(C286&lt;&gt;"",K286&lt;&gt;"Hoàn thành",N286="2. Lên lịch"),MAX(Y$5:Y285)+1,"")</f>
        <v/>
      </c>
      <c r="Z286" s="9" t="str">
        <f aca="false">IF(AND(C286&lt;&gt;"",K286&lt;&gt;"Hoàn thành",N286="3. Giao lại"),MAX(Z$5:Z285)+1,"")</f>
        <v/>
      </c>
      <c r="AA286" s="9" t="str">
        <f aca="false">IF(AND(C286&lt;&gt;"",K286&lt;&gt;"Hoàn thành",N286="4. Để sau"),MAX(AA$5:AA285)+1,"")</f>
        <v/>
      </c>
      <c r="AB286" s="9" t="str">
        <f aca="false">IF(AND(C286&lt;&gt;"",J286&lt;&gt;"",J286&gt;=TUAN!$C$3,J286&lt;=TUAN!$C$3+6),MAX(AB$5:AB285)+1,"")</f>
        <v/>
      </c>
    </row>
    <row r="287" customFormat="false" ht="15" hidden="false" customHeight="false" outlineLevel="0" collapsed="false">
      <c r="A287" s="9" t="str">
        <f aca="false">IF(C287="","","CV"&amp;TEXT(ROW()-5,"000"))</f>
        <v/>
      </c>
      <c r="B287" s="10"/>
      <c r="C287" s="11"/>
      <c r="D287" s="12"/>
      <c r="E287" s="12"/>
      <c r="F287" s="12"/>
      <c r="G287" s="12"/>
      <c r="H287" s="12"/>
      <c r="I287" s="12"/>
      <c r="J287" s="10"/>
      <c r="K287" s="12"/>
      <c r="L287" s="10"/>
      <c r="M287" s="12"/>
      <c r="N287" s="9" t="str">
        <f aca="false">IF(C287="","",IF(AND(H287="Có",I287="Có"),"1. Làm ngay",IF(H287="Có","2. Lên lịch",IF(I287="Có","3. Giao lại","4. Để sau"))))</f>
        <v/>
      </c>
      <c r="O287" s="9" t="str">
        <f aca="true">IF(OR(C287="",J287="",K287="Hoàn thành"),"",J287-TODAY())</f>
        <v/>
      </c>
      <c r="P287" s="9" t="str">
        <f aca="true">IF(C287="","",IF(K287="Hoàn thành",IF(OR(L287="",J287=""),"Xong (thiếu ngày)",IF(L287&lt;=J287,"Xong đúng hạn","Xong trễ")),IF(J287="","Chưa có hạn",IF(J287&lt;TODAY(),"Quá hạn",IF(J287=TODAY(),"Đến hạn hôm nay",IF(J287-TODAY()&lt;=3,"Sắp đến hạn","Trong hạn"))))))</f>
        <v/>
      </c>
      <c r="Q287" s="9" t="str">
        <f aca="false">IF(OR(C287="",J287=""),"",WEEKNUM(J287,21))</f>
        <v/>
      </c>
      <c r="R287" s="2"/>
      <c r="S287" s="9" t="str">
        <f aca="true">IF(AND(C287&lt;&gt;"",K287&lt;&gt;"Hoàn thành",J287&lt;&gt;"",J287&lt;=TODAY()),MAX(S$5:S286)+1,"")</f>
        <v/>
      </c>
      <c r="T287" s="9" t="str">
        <f aca="false">IF(AND(C287&lt;&gt;"",IF(K287="","Chưa làm",K287)="Chưa làm"),MAX(T$5:T286)+1,"")</f>
        <v/>
      </c>
      <c r="U287" s="9" t="str">
        <f aca="false">IF(AND(C287&lt;&gt;"",IF(K287="","Chưa làm",K287)="Đang làm"),MAX(U$5:U286)+1,"")</f>
        <v/>
      </c>
      <c r="V287" s="9" t="str">
        <f aca="false">IF(AND(C287&lt;&gt;"",IF(K287="","Chưa làm",K287)="Chờ duyệt"),MAX(V$5:V286)+1,"")</f>
        <v/>
      </c>
      <c r="W287" s="9" t="str">
        <f aca="false">IF(AND(C287&lt;&gt;"",IF(K287="","Chưa làm",K287)="Hoàn thành"),MAX(W$5:W286)+1,"")</f>
        <v/>
      </c>
      <c r="X287" s="9" t="str">
        <f aca="false">IF(AND(C287&lt;&gt;"",K287&lt;&gt;"Hoàn thành",N287="1. Làm ngay"),MAX(X$5:X286)+1,"")</f>
        <v/>
      </c>
      <c r="Y287" s="9" t="str">
        <f aca="false">IF(AND(C287&lt;&gt;"",K287&lt;&gt;"Hoàn thành",N287="2. Lên lịch"),MAX(Y$5:Y286)+1,"")</f>
        <v/>
      </c>
      <c r="Z287" s="9" t="str">
        <f aca="false">IF(AND(C287&lt;&gt;"",K287&lt;&gt;"Hoàn thành",N287="3. Giao lại"),MAX(Z$5:Z286)+1,"")</f>
        <v/>
      </c>
      <c r="AA287" s="9" t="str">
        <f aca="false">IF(AND(C287&lt;&gt;"",K287&lt;&gt;"Hoàn thành",N287="4. Để sau"),MAX(AA$5:AA286)+1,"")</f>
        <v/>
      </c>
      <c r="AB287" s="9" t="str">
        <f aca="false">IF(AND(C287&lt;&gt;"",J287&lt;&gt;"",J287&gt;=TUAN!$C$3,J287&lt;=TUAN!$C$3+6),MAX(AB$5:AB286)+1,"")</f>
        <v/>
      </c>
    </row>
    <row r="288" customFormat="false" ht="15" hidden="false" customHeight="false" outlineLevel="0" collapsed="false">
      <c r="A288" s="9" t="str">
        <f aca="false">IF(C288="","","CV"&amp;TEXT(ROW()-5,"000"))</f>
        <v/>
      </c>
      <c r="B288" s="10"/>
      <c r="C288" s="11"/>
      <c r="D288" s="12"/>
      <c r="E288" s="12"/>
      <c r="F288" s="12"/>
      <c r="G288" s="12"/>
      <c r="H288" s="12"/>
      <c r="I288" s="12"/>
      <c r="J288" s="10"/>
      <c r="K288" s="12"/>
      <c r="L288" s="10"/>
      <c r="M288" s="12"/>
      <c r="N288" s="9" t="str">
        <f aca="false">IF(C288="","",IF(AND(H288="Có",I288="Có"),"1. Làm ngay",IF(H288="Có","2. Lên lịch",IF(I288="Có","3. Giao lại","4. Để sau"))))</f>
        <v/>
      </c>
      <c r="O288" s="9" t="str">
        <f aca="true">IF(OR(C288="",J288="",K288="Hoàn thành"),"",J288-TODAY())</f>
        <v/>
      </c>
      <c r="P288" s="9" t="str">
        <f aca="true">IF(C288="","",IF(K288="Hoàn thành",IF(OR(L288="",J288=""),"Xong (thiếu ngày)",IF(L288&lt;=J288,"Xong đúng hạn","Xong trễ")),IF(J288="","Chưa có hạn",IF(J288&lt;TODAY(),"Quá hạn",IF(J288=TODAY(),"Đến hạn hôm nay",IF(J288-TODAY()&lt;=3,"Sắp đến hạn","Trong hạn"))))))</f>
        <v/>
      </c>
      <c r="Q288" s="9" t="str">
        <f aca="false">IF(OR(C288="",J288=""),"",WEEKNUM(J288,21))</f>
        <v/>
      </c>
      <c r="R288" s="2"/>
      <c r="S288" s="9" t="str">
        <f aca="true">IF(AND(C288&lt;&gt;"",K288&lt;&gt;"Hoàn thành",J288&lt;&gt;"",J288&lt;=TODAY()),MAX(S$5:S287)+1,"")</f>
        <v/>
      </c>
      <c r="T288" s="9" t="str">
        <f aca="false">IF(AND(C288&lt;&gt;"",IF(K288="","Chưa làm",K288)="Chưa làm"),MAX(T$5:T287)+1,"")</f>
        <v/>
      </c>
      <c r="U288" s="9" t="str">
        <f aca="false">IF(AND(C288&lt;&gt;"",IF(K288="","Chưa làm",K288)="Đang làm"),MAX(U$5:U287)+1,"")</f>
        <v/>
      </c>
      <c r="V288" s="9" t="str">
        <f aca="false">IF(AND(C288&lt;&gt;"",IF(K288="","Chưa làm",K288)="Chờ duyệt"),MAX(V$5:V287)+1,"")</f>
        <v/>
      </c>
      <c r="W288" s="9" t="str">
        <f aca="false">IF(AND(C288&lt;&gt;"",IF(K288="","Chưa làm",K288)="Hoàn thành"),MAX(W$5:W287)+1,"")</f>
        <v/>
      </c>
      <c r="X288" s="9" t="str">
        <f aca="false">IF(AND(C288&lt;&gt;"",K288&lt;&gt;"Hoàn thành",N288="1. Làm ngay"),MAX(X$5:X287)+1,"")</f>
        <v/>
      </c>
      <c r="Y288" s="9" t="str">
        <f aca="false">IF(AND(C288&lt;&gt;"",K288&lt;&gt;"Hoàn thành",N288="2. Lên lịch"),MAX(Y$5:Y287)+1,"")</f>
        <v/>
      </c>
      <c r="Z288" s="9" t="str">
        <f aca="false">IF(AND(C288&lt;&gt;"",K288&lt;&gt;"Hoàn thành",N288="3. Giao lại"),MAX(Z$5:Z287)+1,"")</f>
        <v/>
      </c>
      <c r="AA288" s="9" t="str">
        <f aca="false">IF(AND(C288&lt;&gt;"",K288&lt;&gt;"Hoàn thành",N288="4. Để sau"),MAX(AA$5:AA287)+1,"")</f>
        <v/>
      </c>
      <c r="AB288" s="9" t="str">
        <f aca="false">IF(AND(C288&lt;&gt;"",J288&lt;&gt;"",J288&gt;=TUAN!$C$3,J288&lt;=TUAN!$C$3+6),MAX(AB$5:AB287)+1,"")</f>
        <v/>
      </c>
    </row>
    <row r="289" customFormat="false" ht="15" hidden="false" customHeight="false" outlineLevel="0" collapsed="false">
      <c r="A289" s="9" t="str">
        <f aca="false">IF(C289="","","CV"&amp;TEXT(ROW()-5,"000"))</f>
        <v/>
      </c>
      <c r="B289" s="10"/>
      <c r="C289" s="11"/>
      <c r="D289" s="12"/>
      <c r="E289" s="12"/>
      <c r="F289" s="12"/>
      <c r="G289" s="12"/>
      <c r="H289" s="12"/>
      <c r="I289" s="12"/>
      <c r="J289" s="10"/>
      <c r="K289" s="12"/>
      <c r="L289" s="10"/>
      <c r="M289" s="12"/>
      <c r="N289" s="9" t="str">
        <f aca="false">IF(C289="","",IF(AND(H289="Có",I289="Có"),"1. Làm ngay",IF(H289="Có","2. Lên lịch",IF(I289="Có","3. Giao lại","4. Để sau"))))</f>
        <v/>
      </c>
      <c r="O289" s="9" t="str">
        <f aca="true">IF(OR(C289="",J289="",K289="Hoàn thành"),"",J289-TODAY())</f>
        <v/>
      </c>
      <c r="P289" s="9" t="str">
        <f aca="true">IF(C289="","",IF(K289="Hoàn thành",IF(OR(L289="",J289=""),"Xong (thiếu ngày)",IF(L289&lt;=J289,"Xong đúng hạn","Xong trễ")),IF(J289="","Chưa có hạn",IF(J289&lt;TODAY(),"Quá hạn",IF(J289=TODAY(),"Đến hạn hôm nay",IF(J289-TODAY()&lt;=3,"Sắp đến hạn","Trong hạn"))))))</f>
        <v/>
      </c>
      <c r="Q289" s="9" t="str">
        <f aca="false">IF(OR(C289="",J289=""),"",WEEKNUM(J289,21))</f>
        <v/>
      </c>
      <c r="R289" s="2"/>
      <c r="S289" s="9" t="str">
        <f aca="true">IF(AND(C289&lt;&gt;"",K289&lt;&gt;"Hoàn thành",J289&lt;&gt;"",J289&lt;=TODAY()),MAX(S$5:S288)+1,"")</f>
        <v/>
      </c>
      <c r="T289" s="9" t="str">
        <f aca="false">IF(AND(C289&lt;&gt;"",IF(K289="","Chưa làm",K289)="Chưa làm"),MAX(T$5:T288)+1,"")</f>
        <v/>
      </c>
      <c r="U289" s="9" t="str">
        <f aca="false">IF(AND(C289&lt;&gt;"",IF(K289="","Chưa làm",K289)="Đang làm"),MAX(U$5:U288)+1,"")</f>
        <v/>
      </c>
      <c r="V289" s="9" t="str">
        <f aca="false">IF(AND(C289&lt;&gt;"",IF(K289="","Chưa làm",K289)="Chờ duyệt"),MAX(V$5:V288)+1,"")</f>
        <v/>
      </c>
      <c r="W289" s="9" t="str">
        <f aca="false">IF(AND(C289&lt;&gt;"",IF(K289="","Chưa làm",K289)="Hoàn thành"),MAX(W$5:W288)+1,"")</f>
        <v/>
      </c>
      <c r="X289" s="9" t="str">
        <f aca="false">IF(AND(C289&lt;&gt;"",K289&lt;&gt;"Hoàn thành",N289="1. Làm ngay"),MAX(X$5:X288)+1,"")</f>
        <v/>
      </c>
      <c r="Y289" s="9" t="str">
        <f aca="false">IF(AND(C289&lt;&gt;"",K289&lt;&gt;"Hoàn thành",N289="2. Lên lịch"),MAX(Y$5:Y288)+1,"")</f>
        <v/>
      </c>
      <c r="Z289" s="9" t="str">
        <f aca="false">IF(AND(C289&lt;&gt;"",K289&lt;&gt;"Hoàn thành",N289="3. Giao lại"),MAX(Z$5:Z288)+1,"")</f>
        <v/>
      </c>
      <c r="AA289" s="9" t="str">
        <f aca="false">IF(AND(C289&lt;&gt;"",K289&lt;&gt;"Hoàn thành",N289="4. Để sau"),MAX(AA$5:AA288)+1,"")</f>
        <v/>
      </c>
      <c r="AB289" s="9" t="str">
        <f aca="false">IF(AND(C289&lt;&gt;"",J289&lt;&gt;"",J289&gt;=TUAN!$C$3,J289&lt;=TUAN!$C$3+6),MAX(AB$5:AB288)+1,"")</f>
        <v/>
      </c>
    </row>
    <row r="290" customFormat="false" ht="15" hidden="false" customHeight="false" outlineLevel="0" collapsed="false">
      <c r="A290" s="9" t="str">
        <f aca="false">IF(C290="","","CV"&amp;TEXT(ROW()-5,"000"))</f>
        <v/>
      </c>
      <c r="B290" s="10"/>
      <c r="C290" s="11"/>
      <c r="D290" s="12"/>
      <c r="E290" s="12"/>
      <c r="F290" s="12"/>
      <c r="G290" s="12"/>
      <c r="H290" s="12"/>
      <c r="I290" s="12"/>
      <c r="J290" s="10"/>
      <c r="K290" s="12"/>
      <c r="L290" s="10"/>
      <c r="M290" s="12"/>
      <c r="N290" s="9" t="str">
        <f aca="false">IF(C290="","",IF(AND(H290="Có",I290="Có"),"1. Làm ngay",IF(H290="Có","2. Lên lịch",IF(I290="Có","3. Giao lại","4. Để sau"))))</f>
        <v/>
      </c>
      <c r="O290" s="9" t="str">
        <f aca="true">IF(OR(C290="",J290="",K290="Hoàn thành"),"",J290-TODAY())</f>
        <v/>
      </c>
      <c r="P290" s="9" t="str">
        <f aca="true">IF(C290="","",IF(K290="Hoàn thành",IF(OR(L290="",J290=""),"Xong (thiếu ngày)",IF(L290&lt;=J290,"Xong đúng hạn","Xong trễ")),IF(J290="","Chưa có hạn",IF(J290&lt;TODAY(),"Quá hạn",IF(J290=TODAY(),"Đến hạn hôm nay",IF(J290-TODAY()&lt;=3,"Sắp đến hạn","Trong hạn"))))))</f>
        <v/>
      </c>
      <c r="Q290" s="9" t="str">
        <f aca="false">IF(OR(C290="",J290=""),"",WEEKNUM(J290,21))</f>
        <v/>
      </c>
      <c r="R290" s="2"/>
      <c r="S290" s="9" t="str">
        <f aca="true">IF(AND(C290&lt;&gt;"",K290&lt;&gt;"Hoàn thành",J290&lt;&gt;"",J290&lt;=TODAY()),MAX(S$5:S289)+1,"")</f>
        <v/>
      </c>
      <c r="T290" s="9" t="str">
        <f aca="false">IF(AND(C290&lt;&gt;"",IF(K290="","Chưa làm",K290)="Chưa làm"),MAX(T$5:T289)+1,"")</f>
        <v/>
      </c>
      <c r="U290" s="9" t="str">
        <f aca="false">IF(AND(C290&lt;&gt;"",IF(K290="","Chưa làm",K290)="Đang làm"),MAX(U$5:U289)+1,"")</f>
        <v/>
      </c>
      <c r="V290" s="9" t="str">
        <f aca="false">IF(AND(C290&lt;&gt;"",IF(K290="","Chưa làm",K290)="Chờ duyệt"),MAX(V$5:V289)+1,"")</f>
        <v/>
      </c>
      <c r="W290" s="9" t="str">
        <f aca="false">IF(AND(C290&lt;&gt;"",IF(K290="","Chưa làm",K290)="Hoàn thành"),MAX(W$5:W289)+1,"")</f>
        <v/>
      </c>
      <c r="X290" s="9" t="str">
        <f aca="false">IF(AND(C290&lt;&gt;"",K290&lt;&gt;"Hoàn thành",N290="1. Làm ngay"),MAX(X$5:X289)+1,"")</f>
        <v/>
      </c>
      <c r="Y290" s="9" t="str">
        <f aca="false">IF(AND(C290&lt;&gt;"",K290&lt;&gt;"Hoàn thành",N290="2. Lên lịch"),MAX(Y$5:Y289)+1,"")</f>
        <v/>
      </c>
      <c r="Z290" s="9" t="str">
        <f aca="false">IF(AND(C290&lt;&gt;"",K290&lt;&gt;"Hoàn thành",N290="3. Giao lại"),MAX(Z$5:Z289)+1,"")</f>
        <v/>
      </c>
      <c r="AA290" s="9" t="str">
        <f aca="false">IF(AND(C290&lt;&gt;"",K290&lt;&gt;"Hoàn thành",N290="4. Để sau"),MAX(AA$5:AA289)+1,"")</f>
        <v/>
      </c>
      <c r="AB290" s="9" t="str">
        <f aca="false">IF(AND(C290&lt;&gt;"",J290&lt;&gt;"",J290&gt;=TUAN!$C$3,J290&lt;=TUAN!$C$3+6),MAX(AB$5:AB289)+1,"")</f>
        <v/>
      </c>
    </row>
    <row r="291" customFormat="false" ht="15" hidden="false" customHeight="false" outlineLevel="0" collapsed="false">
      <c r="A291" s="9" t="str">
        <f aca="false">IF(C291="","","CV"&amp;TEXT(ROW()-5,"000"))</f>
        <v/>
      </c>
      <c r="B291" s="10"/>
      <c r="C291" s="11"/>
      <c r="D291" s="12"/>
      <c r="E291" s="12"/>
      <c r="F291" s="12"/>
      <c r="G291" s="12"/>
      <c r="H291" s="12"/>
      <c r="I291" s="12"/>
      <c r="J291" s="10"/>
      <c r="K291" s="12"/>
      <c r="L291" s="10"/>
      <c r="M291" s="12"/>
      <c r="N291" s="9" t="str">
        <f aca="false">IF(C291="","",IF(AND(H291="Có",I291="Có"),"1. Làm ngay",IF(H291="Có","2. Lên lịch",IF(I291="Có","3. Giao lại","4. Để sau"))))</f>
        <v/>
      </c>
      <c r="O291" s="9" t="str">
        <f aca="true">IF(OR(C291="",J291="",K291="Hoàn thành"),"",J291-TODAY())</f>
        <v/>
      </c>
      <c r="P291" s="9" t="str">
        <f aca="true">IF(C291="","",IF(K291="Hoàn thành",IF(OR(L291="",J291=""),"Xong (thiếu ngày)",IF(L291&lt;=J291,"Xong đúng hạn","Xong trễ")),IF(J291="","Chưa có hạn",IF(J291&lt;TODAY(),"Quá hạn",IF(J291=TODAY(),"Đến hạn hôm nay",IF(J291-TODAY()&lt;=3,"Sắp đến hạn","Trong hạn"))))))</f>
        <v/>
      </c>
      <c r="Q291" s="9" t="str">
        <f aca="false">IF(OR(C291="",J291=""),"",WEEKNUM(J291,21))</f>
        <v/>
      </c>
      <c r="R291" s="2"/>
      <c r="S291" s="9" t="str">
        <f aca="true">IF(AND(C291&lt;&gt;"",K291&lt;&gt;"Hoàn thành",J291&lt;&gt;"",J291&lt;=TODAY()),MAX(S$5:S290)+1,"")</f>
        <v/>
      </c>
      <c r="T291" s="9" t="str">
        <f aca="false">IF(AND(C291&lt;&gt;"",IF(K291="","Chưa làm",K291)="Chưa làm"),MAX(T$5:T290)+1,"")</f>
        <v/>
      </c>
      <c r="U291" s="9" t="str">
        <f aca="false">IF(AND(C291&lt;&gt;"",IF(K291="","Chưa làm",K291)="Đang làm"),MAX(U$5:U290)+1,"")</f>
        <v/>
      </c>
      <c r="V291" s="9" t="str">
        <f aca="false">IF(AND(C291&lt;&gt;"",IF(K291="","Chưa làm",K291)="Chờ duyệt"),MAX(V$5:V290)+1,"")</f>
        <v/>
      </c>
      <c r="W291" s="9" t="str">
        <f aca="false">IF(AND(C291&lt;&gt;"",IF(K291="","Chưa làm",K291)="Hoàn thành"),MAX(W$5:W290)+1,"")</f>
        <v/>
      </c>
      <c r="X291" s="9" t="str">
        <f aca="false">IF(AND(C291&lt;&gt;"",K291&lt;&gt;"Hoàn thành",N291="1. Làm ngay"),MAX(X$5:X290)+1,"")</f>
        <v/>
      </c>
      <c r="Y291" s="9" t="str">
        <f aca="false">IF(AND(C291&lt;&gt;"",K291&lt;&gt;"Hoàn thành",N291="2. Lên lịch"),MAX(Y$5:Y290)+1,"")</f>
        <v/>
      </c>
      <c r="Z291" s="9" t="str">
        <f aca="false">IF(AND(C291&lt;&gt;"",K291&lt;&gt;"Hoàn thành",N291="3. Giao lại"),MAX(Z$5:Z290)+1,"")</f>
        <v/>
      </c>
      <c r="AA291" s="9" t="str">
        <f aca="false">IF(AND(C291&lt;&gt;"",K291&lt;&gt;"Hoàn thành",N291="4. Để sau"),MAX(AA$5:AA290)+1,"")</f>
        <v/>
      </c>
      <c r="AB291" s="9" t="str">
        <f aca="false">IF(AND(C291&lt;&gt;"",J291&lt;&gt;"",J291&gt;=TUAN!$C$3,J291&lt;=TUAN!$C$3+6),MAX(AB$5:AB290)+1,"")</f>
        <v/>
      </c>
    </row>
    <row r="292" customFormat="false" ht="15" hidden="false" customHeight="false" outlineLevel="0" collapsed="false">
      <c r="A292" s="9" t="str">
        <f aca="false">IF(C292="","","CV"&amp;TEXT(ROW()-5,"000"))</f>
        <v/>
      </c>
      <c r="B292" s="10"/>
      <c r="C292" s="11"/>
      <c r="D292" s="12"/>
      <c r="E292" s="12"/>
      <c r="F292" s="12"/>
      <c r="G292" s="12"/>
      <c r="H292" s="12"/>
      <c r="I292" s="12"/>
      <c r="J292" s="10"/>
      <c r="K292" s="12"/>
      <c r="L292" s="10"/>
      <c r="M292" s="12"/>
      <c r="N292" s="9" t="str">
        <f aca="false">IF(C292="","",IF(AND(H292="Có",I292="Có"),"1. Làm ngay",IF(H292="Có","2. Lên lịch",IF(I292="Có","3. Giao lại","4. Để sau"))))</f>
        <v/>
      </c>
      <c r="O292" s="9" t="str">
        <f aca="true">IF(OR(C292="",J292="",K292="Hoàn thành"),"",J292-TODAY())</f>
        <v/>
      </c>
      <c r="P292" s="9" t="str">
        <f aca="true">IF(C292="","",IF(K292="Hoàn thành",IF(OR(L292="",J292=""),"Xong (thiếu ngày)",IF(L292&lt;=J292,"Xong đúng hạn","Xong trễ")),IF(J292="","Chưa có hạn",IF(J292&lt;TODAY(),"Quá hạn",IF(J292=TODAY(),"Đến hạn hôm nay",IF(J292-TODAY()&lt;=3,"Sắp đến hạn","Trong hạn"))))))</f>
        <v/>
      </c>
      <c r="Q292" s="9" t="str">
        <f aca="false">IF(OR(C292="",J292=""),"",WEEKNUM(J292,21))</f>
        <v/>
      </c>
      <c r="R292" s="2"/>
      <c r="S292" s="9" t="str">
        <f aca="true">IF(AND(C292&lt;&gt;"",K292&lt;&gt;"Hoàn thành",J292&lt;&gt;"",J292&lt;=TODAY()),MAX(S$5:S291)+1,"")</f>
        <v/>
      </c>
      <c r="T292" s="9" t="str">
        <f aca="false">IF(AND(C292&lt;&gt;"",IF(K292="","Chưa làm",K292)="Chưa làm"),MAX(T$5:T291)+1,"")</f>
        <v/>
      </c>
      <c r="U292" s="9" t="str">
        <f aca="false">IF(AND(C292&lt;&gt;"",IF(K292="","Chưa làm",K292)="Đang làm"),MAX(U$5:U291)+1,"")</f>
        <v/>
      </c>
      <c r="V292" s="9" t="str">
        <f aca="false">IF(AND(C292&lt;&gt;"",IF(K292="","Chưa làm",K292)="Chờ duyệt"),MAX(V$5:V291)+1,"")</f>
        <v/>
      </c>
      <c r="W292" s="9" t="str">
        <f aca="false">IF(AND(C292&lt;&gt;"",IF(K292="","Chưa làm",K292)="Hoàn thành"),MAX(W$5:W291)+1,"")</f>
        <v/>
      </c>
      <c r="X292" s="9" t="str">
        <f aca="false">IF(AND(C292&lt;&gt;"",K292&lt;&gt;"Hoàn thành",N292="1. Làm ngay"),MAX(X$5:X291)+1,"")</f>
        <v/>
      </c>
      <c r="Y292" s="9" t="str">
        <f aca="false">IF(AND(C292&lt;&gt;"",K292&lt;&gt;"Hoàn thành",N292="2. Lên lịch"),MAX(Y$5:Y291)+1,"")</f>
        <v/>
      </c>
      <c r="Z292" s="9" t="str">
        <f aca="false">IF(AND(C292&lt;&gt;"",K292&lt;&gt;"Hoàn thành",N292="3. Giao lại"),MAX(Z$5:Z291)+1,"")</f>
        <v/>
      </c>
      <c r="AA292" s="9" t="str">
        <f aca="false">IF(AND(C292&lt;&gt;"",K292&lt;&gt;"Hoàn thành",N292="4. Để sau"),MAX(AA$5:AA291)+1,"")</f>
        <v/>
      </c>
      <c r="AB292" s="9" t="str">
        <f aca="false">IF(AND(C292&lt;&gt;"",J292&lt;&gt;"",J292&gt;=TUAN!$C$3,J292&lt;=TUAN!$C$3+6),MAX(AB$5:AB291)+1,"")</f>
        <v/>
      </c>
    </row>
    <row r="293" customFormat="false" ht="15" hidden="false" customHeight="false" outlineLevel="0" collapsed="false">
      <c r="A293" s="9" t="str">
        <f aca="false">IF(C293="","","CV"&amp;TEXT(ROW()-5,"000"))</f>
        <v/>
      </c>
      <c r="B293" s="10"/>
      <c r="C293" s="11"/>
      <c r="D293" s="12"/>
      <c r="E293" s="12"/>
      <c r="F293" s="12"/>
      <c r="G293" s="12"/>
      <c r="H293" s="12"/>
      <c r="I293" s="12"/>
      <c r="J293" s="10"/>
      <c r="K293" s="12"/>
      <c r="L293" s="10"/>
      <c r="M293" s="12"/>
      <c r="N293" s="9" t="str">
        <f aca="false">IF(C293="","",IF(AND(H293="Có",I293="Có"),"1. Làm ngay",IF(H293="Có","2. Lên lịch",IF(I293="Có","3. Giao lại","4. Để sau"))))</f>
        <v/>
      </c>
      <c r="O293" s="9" t="str">
        <f aca="true">IF(OR(C293="",J293="",K293="Hoàn thành"),"",J293-TODAY())</f>
        <v/>
      </c>
      <c r="P293" s="9" t="str">
        <f aca="true">IF(C293="","",IF(K293="Hoàn thành",IF(OR(L293="",J293=""),"Xong (thiếu ngày)",IF(L293&lt;=J293,"Xong đúng hạn","Xong trễ")),IF(J293="","Chưa có hạn",IF(J293&lt;TODAY(),"Quá hạn",IF(J293=TODAY(),"Đến hạn hôm nay",IF(J293-TODAY()&lt;=3,"Sắp đến hạn","Trong hạn"))))))</f>
        <v/>
      </c>
      <c r="Q293" s="9" t="str">
        <f aca="false">IF(OR(C293="",J293=""),"",WEEKNUM(J293,21))</f>
        <v/>
      </c>
      <c r="R293" s="2"/>
      <c r="S293" s="9" t="str">
        <f aca="true">IF(AND(C293&lt;&gt;"",K293&lt;&gt;"Hoàn thành",J293&lt;&gt;"",J293&lt;=TODAY()),MAX(S$5:S292)+1,"")</f>
        <v/>
      </c>
      <c r="T293" s="9" t="str">
        <f aca="false">IF(AND(C293&lt;&gt;"",IF(K293="","Chưa làm",K293)="Chưa làm"),MAX(T$5:T292)+1,"")</f>
        <v/>
      </c>
      <c r="U293" s="9" t="str">
        <f aca="false">IF(AND(C293&lt;&gt;"",IF(K293="","Chưa làm",K293)="Đang làm"),MAX(U$5:U292)+1,"")</f>
        <v/>
      </c>
      <c r="V293" s="9" t="str">
        <f aca="false">IF(AND(C293&lt;&gt;"",IF(K293="","Chưa làm",K293)="Chờ duyệt"),MAX(V$5:V292)+1,"")</f>
        <v/>
      </c>
      <c r="W293" s="9" t="str">
        <f aca="false">IF(AND(C293&lt;&gt;"",IF(K293="","Chưa làm",K293)="Hoàn thành"),MAX(W$5:W292)+1,"")</f>
        <v/>
      </c>
      <c r="X293" s="9" t="str">
        <f aca="false">IF(AND(C293&lt;&gt;"",K293&lt;&gt;"Hoàn thành",N293="1. Làm ngay"),MAX(X$5:X292)+1,"")</f>
        <v/>
      </c>
      <c r="Y293" s="9" t="str">
        <f aca="false">IF(AND(C293&lt;&gt;"",K293&lt;&gt;"Hoàn thành",N293="2. Lên lịch"),MAX(Y$5:Y292)+1,"")</f>
        <v/>
      </c>
      <c r="Z293" s="9" t="str">
        <f aca="false">IF(AND(C293&lt;&gt;"",K293&lt;&gt;"Hoàn thành",N293="3. Giao lại"),MAX(Z$5:Z292)+1,"")</f>
        <v/>
      </c>
      <c r="AA293" s="9" t="str">
        <f aca="false">IF(AND(C293&lt;&gt;"",K293&lt;&gt;"Hoàn thành",N293="4. Để sau"),MAX(AA$5:AA292)+1,"")</f>
        <v/>
      </c>
      <c r="AB293" s="9" t="str">
        <f aca="false">IF(AND(C293&lt;&gt;"",J293&lt;&gt;"",J293&gt;=TUAN!$C$3,J293&lt;=TUAN!$C$3+6),MAX(AB$5:AB292)+1,"")</f>
        <v/>
      </c>
    </row>
    <row r="294" customFormat="false" ht="15" hidden="false" customHeight="false" outlineLevel="0" collapsed="false">
      <c r="A294" s="9" t="str">
        <f aca="false">IF(C294="","","CV"&amp;TEXT(ROW()-5,"000"))</f>
        <v/>
      </c>
      <c r="B294" s="10"/>
      <c r="C294" s="11"/>
      <c r="D294" s="12"/>
      <c r="E294" s="12"/>
      <c r="F294" s="12"/>
      <c r="G294" s="12"/>
      <c r="H294" s="12"/>
      <c r="I294" s="12"/>
      <c r="J294" s="10"/>
      <c r="K294" s="12"/>
      <c r="L294" s="10"/>
      <c r="M294" s="12"/>
      <c r="N294" s="9" t="str">
        <f aca="false">IF(C294="","",IF(AND(H294="Có",I294="Có"),"1. Làm ngay",IF(H294="Có","2. Lên lịch",IF(I294="Có","3. Giao lại","4. Để sau"))))</f>
        <v/>
      </c>
      <c r="O294" s="9" t="str">
        <f aca="true">IF(OR(C294="",J294="",K294="Hoàn thành"),"",J294-TODAY())</f>
        <v/>
      </c>
      <c r="P294" s="9" t="str">
        <f aca="true">IF(C294="","",IF(K294="Hoàn thành",IF(OR(L294="",J294=""),"Xong (thiếu ngày)",IF(L294&lt;=J294,"Xong đúng hạn","Xong trễ")),IF(J294="","Chưa có hạn",IF(J294&lt;TODAY(),"Quá hạn",IF(J294=TODAY(),"Đến hạn hôm nay",IF(J294-TODAY()&lt;=3,"Sắp đến hạn","Trong hạn"))))))</f>
        <v/>
      </c>
      <c r="Q294" s="9" t="str">
        <f aca="false">IF(OR(C294="",J294=""),"",WEEKNUM(J294,21))</f>
        <v/>
      </c>
      <c r="R294" s="2"/>
      <c r="S294" s="9" t="str">
        <f aca="true">IF(AND(C294&lt;&gt;"",K294&lt;&gt;"Hoàn thành",J294&lt;&gt;"",J294&lt;=TODAY()),MAX(S$5:S293)+1,"")</f>
        <v/>
      </c>
      <c r="T294" s="9" t="str">
        <f aca="false">IF(AND(C294&lt;&gt;"",IF(K294="","Chưa làm",K294)="Chưa làm"),MAX(T$5:T293)+1,"")</f>
        <v/>
      </c>
      <c r="U294" s="9" t="str">
        <f aca="false">IF(AND(C294&lt;&gt;"",IF(K294="","Chưa làm",K294)="Đang làm"),MAX(U$5:U293)+1,"")</f>
        <v/>
      </c>
      <c r="V294" s="9" t="str">
        <f aca="false">IF(AND(C294&lt;&gt;"",IF(K294="","Chưa làm",K294)="Chờ duyệt"),MAX(V$5:V293)+1,"")</f>
        <v/>
      </c>
      <c r="W294" s="9" t="str">
        <f aca="false">IF(AND(C294&lt;&gt;"",IF(K294="","Chưa làm",K294)="Hoàn thành"),MAX(W$5:W293)+1,"")</f>
        <v/>
      </c>
      <c r="X294" s="9" t="str">
        <f aca="false">IF(AND(C294&lt;&gt;"",K294&lt;&gt;"Hoàn thành",N294="1. Làm ngay"),MAX(X$5:X293)+1,"")</f>
        <v/>
      </c>
      <c r="Y294" s="9" t="str">
        <f aca="false">IF(AND(C294&lt;&gt;"",K294&lt;&gt;"Hoàn thành",N294="2. Lên lịch"),MAX(Y$5:Y293)+1,"")</f>
        <v/>
      </c>
      <c r="Z294" s="9" t="str">
        <f aca="false">IF(AND(C294&lt;&gt;"",K294&lt;&gt;"Hoàn thành",N294="3. Giao lại"),MAX(Z$5:Z293)+1,"")</f>
        <v/>
      </c>
      <c r="AA294" s="9" t="str">
        <f aca="false">IF(AND(C294&lt;&gt;"",K294&lt;&gt;"Hoàn thành",N294="4. Để sau"),MAX(AA$5:AA293)+1,"")</f>
        <v/>
      </c>
      <c r="AB294" s="9" t="str">
        <f aca="false">IF(AND(C294&lt;&gt;"",J294&lt;&gt;"",J294&gt;=TUAN!$C$3,J294&lt;=TUAN!$C$3+6),MAX(AB$5:AB293)+1,"")</f>
        <v/>
      </c>
    </row>
    <row r="295" customFormat="false" ht="15" hidden="false" customHeight="false" outlineLevel="0" collapsed="false">
      <c r="A295" s="9" t="str">
        <f aca="false">IF(C295="","","CV"&amp;TEXT(ROW()-5,"000"))</f>
        <v/>
      </c>
      <c r="B295" s="10"/>
      <c r="C295" s="11"/>
      <c r="D295" s="12"/>
      <c r="E295" s="12"/>
      <c r="F295" s="12"/>
      <c r="G295" s="12"/>
      <c r="H295" s="12"/>
      <c r="I295" s="12"/>
      <c r="J295" s="10"/>
      <c r="K295" s="12"/>
      <c r="L295" s="10"/>
      <c r="M295" s="12"/>
      <c r="N295" s="9" t="str">
        <f aca="false">IF(C295="","",IF(AND(H295="Có",I295="Có"),"1. Làm ngay",IF(H295="Có","2. Lên lịch",IF(I295="Có","3. Giao lại","4. Để sau"))))</f>
        <v/>
      </c>
      <c r="O295" s="9" t="str">
        <f aca="true">IF(OR(C295="",J295="",K295="Hoàn thành"),"",J295-TODAY())</f>
        <v/>
      </c>
      <c r="P295" s="9" t="str">
        <f aca="true">IF(C295="","",IF(K295="Hoàn thành",IF(OR(L295="",J295=""),"Xong (thiếu ngày)",IF(L295&lt;=J295,"Xong đúng hạn","Xong trễ")),IF(J295="","Chưa có hạn",IF(J295&lt;TODAY(),"Quá hạn",IF(J295=TODAY(),"Đến hạn hôm nay",IF(J295-TODAY()&lt;=3,"Sắp đến hạn","Trong hạn"))))))</f>
        <v/>
      </c>
      <c r="Q295" s="9" t="str">
        <f aca="false">IF(OR(C295="",J295=""),"",WEEKNUM(J295,21))</f>
        <v/>
      </c>
      <c r="R295" s="2"/>
      <c r="S295" s="9" t="str">
        <f aca="true">IF(AND(C295&lt;&gt;"",K295&lt;&gt;"Hoàn thành",J295&lt;&gt;"",J295&lt;=TODAY()),MAX(S$5:S294)+1,"")</f>
        <v/>
      </c>
      <c r="T295" s="9" t="str">
        <f aca="false">IF(AND(C295&lt;&gt;"",IF(K295="","Chưa làm",K295)="Chưa làm"),MAX(T$5:T294)+1,"")</f>
        <v/>
      </c>
      <c r="U295" s="9" t="str">
        <f aca="false">IF(AND(C295&lt;&gt;"",IF(K295="","Chưa làm",K295)="Đang làm"),MAX(U$5:U294)+1,"")</f>
        <v/>
      </c>
      <c r="V295" s="9" t="str">
        <f aca="false">IF(AND(C295&lt;&gt;"",IF(K295="","Chưa làm",K295)="Chờ duyệt"),MAX(V$5:V294)+1,"")</f>
        <v/>
      </c>
      <c r="W295" s="9" t="str">
        <f aca="false">IF(AND(C295&lt;&gt;"",IF(K295="","Chưa làm",K295)="Hoàn thành"),MAX(W$5:W294)+1,"")</f>
        <v/>
      </c>
      <c r="X295" s="9" t="str">
        <f aca="false">IF(AND(C295&lt;&gt;"",K295&lt;&gt;"Hoàn thành",N295="1. Làm ngay"),MAX(X$5:X294)+1,"")</f>
        <v/>
      </c>
      <c r="Y295" s="9" t="str">
        <f aca="false">IF(AND(C295&lt;&gt;"",K295&lt;&gt;"Hoàn thành",N295="2. Lên lịch"),MAX(Y$5:Y294)+1,"")</f>
        <v/>
      </c>
      <c r="Z295" s="9" t="str">
        <f aca="false">IF(AND(C295&lt;&gt;"",K295&lt;&gt;"Hoàn thành",N295="3. Giao lại"),MAX(Z$5:Z294)+1,"")</f>
        <v/>
      </c>
      <c r="AA295" s="9" t="str">
        <f aca="false">IF(AND(C295&lt;&gt;"",K295&lt;&gt;"Hoàn thành",N295="4. Để sau"),MAX(AA$5:AA294)+1,"")</f>
        <v/>
      </c>
      <c r="AB295" s="9" t="str">
        <f aca="false">IF(AND(C295&lt;&gt;"",J295&lt;&gt;"",J295&gt;=TUAN!$C$3,J295&lt;=TUAN!$C$3+6),MAX(AB$5:AB294)+1,"")</f>
        <v/>
      </c>
    </row>
    <row r="296" customFormat="false" ht="15" hidden="false" customHeight="false" outlineLevel="0" collapsed="false">
      <c r="A296" s="9" t="str">
        <f aca="false">IF(C296="","","CV"&amp;TEXT(ROW()-5,"000"))</f>
        <v/>
      </c>
      <c r="B296" s="10"/>
      <c r="C296" s="11"/>
      <c r="D296" s="12"/>
      <c r="E296" s="12"/>
      <c r="F296" s="12"/>
      <c r="G296" s="12"/>
      <c r="H296" s="12"/>
      <c r="I296" s="12"/>
      <c r="J296" s="10"/>
      <c r="K296" s="12"/>
      <c r="L296" s="10"/>
      <c r="M296" s="12"/>
      <c r="N296" s="9" t="str">
        <f aca="false">IF(C296="","",IF(AND(H296="Có",I296="Có"),"1. Làm ngay",IF(H296="Có","2. Lên lịch",IF(I296="Có","3. Giao lại","4. Để sau"))))</f>
        <v/>
      </c>
      <c r="O296" s="9" t="str">
        <f aca="true">IF(OR(C296="",J296="",K296="Hoàn thành"),"",J296-TODAY())</f>
        <v/>
      </c>
      <c r="P296" s="9" t="str">
        <f aca="true">IF(C296="","",IF(K296="Hoàn thành",IF(OR(L296="",J296=""),"Xong (thiếu ngày)",IF(L296&lt;=J296,"Xong đúng hạn","Xong trễ")),IF(J296="","Chưa có hạn",IF(J296&lt;TODAY(),"Quá hạn",IF(J296=TODAY(),"Đến hạn hôm nay",IF(J296-TODAY()&lt;=3,"Sắp đến hạn","Trong hạn"))))))</f>
        <v/>
      </c>
      <c r="Q296" s="9" t="str">
        <f aca="false">IF(OR(C296="",J296=""),"",WEEKNUM(J296,21))</f>
        <v/>
      </c>
      <c r="R296" s="2"/>
      <c r="S296" s="9" t="str">
        <f aca="true">IF(AND(C296&lt;&gt;"",K296&lt;&gt;"Hoàn thành",J296&lt;&gt;"",J296&lt;=TODAY()),MAX(S$5:S295)+1,"")</f>
        <v/>
      </c>
      <c r="T296" s="9" t="str">
        <f aca="false">IF(AND(C296&lt;&gt;"",IF(K296="","Chưa làm",K296)="Chưa làm"),MAX(T$5:T295)+1,"")</f>
        <v/>
      </c>
      <c r="U296" s="9" t="str">
        <f aca="false">IF(AND(C296&lt;&gt;"",IF(K296="","Chưa làm",K296)="Đang làm"),MAX(U$5:U295)+1,"")</f>
        <v/>
      </c>
      <c r="V296" s="9" t="str">
        <f aca="false">IF(AND(C296&lt;&gt;"",IF(K296="","Chưa làm",K296)="Chờ duyệt"),MAX(V$5:V295)+1,"")</f>
        <v/>
      </c>
      <c r="W296" s="9" t="str">
        <f aca="false">IF(AND(C296&lt;&gt;"",IF(K296="","Chưa làm",K296)="Hoàn thành"),MAX(W$5:W295)+1,"")</f>
        <v/>
      </c>
      <c r="X296" s="9" t="str">
        <f aca="false">IF(AND(C296&lt;&gt;"",K296&lt;&gt;"Hoàn thành",N296="1. Làm ngay"),MAX(X$5:X295)+1,"")</f>
        <v/>
      </c>
      <c r="Y296" s="9" t="str">
        <f aca="false">IF(AND(C296&lt;&gt;"",K296&lt;&gt;"Hoàn thành",N296="2. Lên lịch"),MAX(Y$5:Y295)+1,"")</f>
        <v/>
      </c>
      <c r="Z296" s="9" t="str">
        <f aca="false">IF(AND(C296&lt;&gt;"",K296&lt;&gt;"Hoàn thành",N296="3. Giao lại"),MAX(Z$5:Z295)+1,"")</f>
        <v/>
      </c>
      <c r="AA296" s="9" t="str">
        <f aca="false">IF(AND(C296&lt;&gt;"",K296&lt;&gt;"Hoàn thành",N296="4. Để sau"),MAX(AA$5:AA295)+1,"")</f>
        <v/>
      </c>
      <c r="AB296" s="9" t="str">
        <f aca="false">IF(AND(C296&lt;&gt;"",J296&lt;&gt;"",J296&gt;=TUAN!$C$3,J296&lt;=TUAN!$C$3+6),MAX(AB$5:AB295)+1,"")</f>
        <v/>
      </c>
    </row>
    <row r="297" customFormat="false" ht="15" hidden="false" customHeight="false" outlineLevel="0" collapsed="false">
      <c r="A297" s="9" t="str">
        <f aca="false">IF(C297="","","CV"&amp;TEXT(ROW()-5,"000"))</f>
        <v/>
      </c>
      <c r="B297" s="10"/>
      <c r="C297" s="11"/>
      <c r="D297" s="12"/>
      <c r="E297" s="12"/>
      <c r="F297" s="12"/>
      <c r="G297" s="12"/>
      <c r="H297" s="12"/>
      <c r="I297" s="12"/>
      <c r="J297" s="10"/>
      <c r="K297" s="12"/>
      <c r="L297" s="10"/>
      <c r="M297" s="12"/>
      <c r="N297" s="9" t="str">
        <f aca="false">IF(C297="","",IF(AND(H297="Có",I297="Có"),"1. Làm ngay",IF(H297="Có","2. Lên lịch",IF(I297="Có","3. Giao lại","4. Để sau"))))</f>
        <v/>
      </c>
      <c r="O297" s="9" t="str">
        <f aca="true">IF(OR(C297="",J297="",K297="Hoàn thành"),"",J297-TODAY())</f>
        <v/>
      </c>
      <c r="P297" s="9" t="str">
        <f aca="true">IF(C297="","",IF(K297="Hoàn thành",IF(OR(L297="",J297=""),"Xong (thiếu ngày)",IF(L297&lt;=J297,"Xong đúng hạn","Xong trễ")),IF(J297="","Chưa có hạn",IF(J297&lt;TODAY(),"Quá hạn",IF(J297=TODAY(),"Đến hạn hôm nay",IF(J297-TODAY()&lt;=3,"Sắp đến hạn","Trong hạn"))))))</f>
        <v/>
      </c>
      <c r="Q297" s="9" t="str">
        <f aca="false">IF(OR(C297="",J297=""),"",WEEKNUM(J297,21))</f>
        <v/>
      </c>
      <c r="R297" s="2"/>
      <c r="S297" s="9" t="str">
        <f aca="true">IF(AND(C297&lt;&gt;"",K297&lt;&gt;"Hoàn thành",J297&lt;&gt;"",J297&lt;=TODAY()),MAX(S$5:S296)+1,"")</f>
        <v/>
      </c>
      <c r="T297" s="9" t="str">
        <f aca="false">IF(AND(C297&lt;&gt;"",IF(K297="","Chưa làm",K297)="Chưa làm"),MAX(T$5:T296)+1,"")</f>
        <v/>
      </c>
      <c r="U297" s="9" t="str">
        <f aca="false">IF(AND(C297&lt;&gt;"",IF(K297="","Chưa làm",K297)="Đang làm"),MAX(U$5:U296)+1,"")</f>
        <v/>
      </c>
      <c r="V297" s="9" t="str">
        <f aca="false">IF(AND(C297&lt;&gt;"",IF(K297="","Chưa làm",K297)="Chờ duyệt"),MAX(V$5:V296)+1,"")</f>
        <v/>
      </c>
      <c r="W297" s="9" t="str">
        <f aca="false">IF(AND(C297&lt;&gt;"",IF(K297="","Chưa làm",K297)="Hoàn thành"),MAX(W$5:W296)+1,"")</f>
        <v/>
      </c>
      <c r="X297" s="9" t="str">
        <f aca="false">IF(AND(C297&lt;&gt;"",K297&lt;&gt;"Hoàn thành",N297="1. Làm ngay"),MAX(X$5:X296)+1,"")</f>
        <v/>
      </c>
      <c r="Y297" s="9" t="str">
        <f aca="false">IF(AND(C297&lt;&gt;"",K297&lt;&gt;"Hoàn thành",N297="2. Lên lịch"),MAX(Y$5:Y296)+1,"")</f>
        <v/>
      </c>
      <c r="Z297" s="9" t="str">
        <f aca="false">IF(AND(C297&lt;&gt;"",K297&lt;&gt;"Hoàn thành",N297="3. Giao lại"),MAX(Z$5:Z296)+1,"")</f>
        <v/>
      </c>
      <c r="AA297" s="9" t="str">
        <f aca="false">IF(AND(C297&lt;&gt;"",K297&lt;&gt;"Hoàn thành",N297="4. Để sau"),MAX(AA$5:AA296)+1,"")</f>
        <v/>
      </c>
      <c r="AB297" s="9" t="str">
        <f aca="false">IF(AND(C297&lt;&gt;"",J297&lt;&gt;"",J297&gt;=TUAN!$C$3,J297&lt;=TUAN!$C$3+6),MAX(AB$5:AB296)+1,"")</f>
        <v/>
      </c>
    </row>
    <row r="298" customFormat="false" ht="15" hidden="false" customHeight="false" outlineLevel="0" collapsed="false">
      <c r="A298" s="9" t="str">
        <f aca="false">IF(C298="","","CV"&amp;TEXT(ROW()-5,"000"))</f>
        <v/>
      </c>
      <c r="B298" s="10"/>
      <c r="C298" s="11"/>
      <c r="D298" s="12"/>
      <c r="E298" s="12"/>
      <c r="F298" s="12"/>
      <c r="G298" s="12"/>
      <c r="H298" s="12"/>
      <c r="I298" s="12"/>
      <c r="J298" s="10"/>
      <c r="K298" s="12"/>
      <c r="L298" s="10"/>
      <c r="M298" s="12"/>
      <c r="N298" s="9" t="str">
        <f aca="false">IF(C298="","",IF(AND(H298="Có",I298="Có"),"1. Làm ngay",IF(H298="Có","2. Lên lịch",IF(I298="Có","3. Giao lại","4. Để sau"))))</f>
        <v/>
      </c>
      <c r="O298" s="9" t="str">
        <f aca="true">IF(OR(C298="",J298="",K298="Hoàn thành"),"",J298-TODAY())</f>
        <v/>
      </c>
      <c r="P298" s="9" t="str">
        <f aca="true">IF(C298="","",IF(K298="Hoàn thành",IF(OR(L298="",J298=""),"Xong (thiếu ngày)",IF(L298&lt;=J298,"Xong đúng hạn","Xong trễ")),IF(J298="","Chưa có hạn",IF(J298&lt;TODAY(),"Quá hạn",IF(J298=TODAY(),"Đến hạn hôm nay",IF(J298-TODAY()&lt;=3,"Sắp đến hạn","Trong hạn"))))))</f>
        <v/>
      </c>
      <c r="Q298" s="9" t="str">
        <f aca="false">IF(OR(C298="",J298=""),"",WEEKNUM(J298,21))</f>
        <v/>
      </c>
      <c r="R298" s="2"/>
      <c r="S298" s="9" t="str">
        <f aca="true">IF(AND(C298&lt;&gt;"",K298&lt;&gt;"Hoàn thành",J298&lt;&gt;"",J298&lt;=TODAY()),MAX(S$5:S297)+1,"")</f>
        <v/>
      </c>
      <c r="T298" s="9" t="str">
        <f aca="false">IF(AND(C298&lt;&gt;"",IF(K298="","Chưa làm",K298)="Chưa làm"),MAX(T$5:T297)+1,"")</f>
        <v/>
      </c>
      <c r="U298" s="9" t="str">
        <f aca="false">IF(AND(C298&lt;&gt;"",IF(K298="","Chưa làm",K298)="Đang làm"),MAX(U$5:U297)+1,"")</f>
        <v/>
      </c>
      <c r="V298" s="9" t="str">
        <f aca="false">IF(AND(C298&lt;&gt;"",IF(K298="","Chưa làm",K298)="Chờ duyệt"),MAX(V$5:V297)+1,"")</f>
        <v/>
      </c>
      <c r="W298" s="9" t="str">
        <f aca="false">IF(AND(C298&lt;&gt;"",IF(K298="","Chưa làm",K298)="Hoàn thành"),MAX(W$5:W297)+1,"")</f>
        <v/>
      </c>
      <c r="X298" s="9" t="str">
        <f aca="false">IF(AND(C298&lt;&gt;"",K298&lt;&gt;"Hoàn thành",N298="1. Làm ngay"),MAX(X$5:X297)+1,"")</f>
        <v/>
      </c>
      <c r="Y298" s="9" t="str">
        <f aca="false">IF(AND(C298&lt;&gt;"",K298&lt;&gt;"Hoàn thành",N298="2. Lên lịch"),MAX(Y$5:Y297)+1,"")</f>
        <v/>
      </c>
      <c r="Z298" s="9" t="str">
        <f aca="false">IF(AND(C298&lt;&gt;"",K298&lt;&gt;"Hoàn thành",N298="3. Giao lại"),MAX(Z$5:Z297)+1,"")</f>
        <v/>
      </c>
      <c r="AA298" s="9" t="str">
        <f aca="false">IF(AND(C298&lt;&gt;"",K298&lt;&gt;"Hoàn thành",N298="4. Để sau"),MAX(AA$5:AA297)+1,"")</f>
        <v/>
      </c>
      <c r="AB298" s="9" t="str">
        <f aca="false">IF(AND(C298&lt;&gt;"",J298&lt;&gt;"",J298&gt;=TUAN!$C$3,J298&lt;=TUAN!$C$3+6),MAX(AB$5:AB297)+1,"")</f>
        <v/>
      </c>
    </row>
    <row r="299" customFormat="false" ht="15" hidden="false" customHeight="false" outlineLevel="0" collapsed="false">
      <c r="A299" s="9" t="str">
        <f aca="false">IF(C299="","","CV"&amp;TEXT(ROW()-5,"000"))</f>
        <v/>
      </c>
      <c r="B299" s="10"/>
      <c r="C299" s="11"/>
      <c r="D299" s="12"/>
      <c r="E299" s="12"/>
      <c r="F299" s="12"/>
      <c r="G299" s="12"/>
      <c r="H299" s="12"/>
      <c r="I299" s="12"/>
      <c r="J299" s="10"/>
      <c r="K299" s="12"/>
      <c r="L299" s="10"/>
      <c r="M299" s="12"/>
      <c r="N299" s="9" t="str">
        <f aca="false">IF(C299="","",IF(AND(H299="Có",I299="Có"),"1. Làm ngay",IF(H299="Có","2. Lên lịch",IF(I299="Có","3. Giao lại","4. Để sau"))))</f>
        <v/>
      </c>
      <c r="O299" s="9" t="str">
        <f aca="true">IF(OR(C299="",J299="",K299="Hoàn thành"),"",J299-TODAY())</f>
        <v/>
      </c>
      <c r="P299" s="9" t="str">
        <f aca="true">IF(C299="","",IF(K299="Hoàn thành",IF(OR(L299="",J299=""),"Xong (thiếu ngày)",IF(L299&lt;=J299,"Xong đúng hạn","Xong trễ")),IF(J299="","Chưa có hạn",IF(J299&lt;TODAY(),"Quá hạn",IF(J299=TODAY(),"Đến hạn hôm nay",IF(J299-TODAY()&lt;=3,"Sắp đến hạn","Trong hạn"))))))</f>
        <v/>
      </c>
      <c r="Q299" s="9" t="str">
        <f aca="false">IF(OR(C299="",J299=""),"",WEEKNUM(J299,21))</f>
        <v/>
      </c>
      <c r="R299" s="2"/>
      <c r="S299" s="9" t="str">
        <f aca="true">IF(AND(C299&lt;&gt;"",K299&lt;&gt;"Hoàn thành",J299&lt;&gt;"",J299&lt;=TODAY()),MAX(S$5:S298)+1,"")</f>
        <v/>
      </c>
      <c r="T299" s="9" t="str">
        <f aca="false">IF(AND(C299&lt;&gt;"",IF(K299="","Chưa làm",K299)="Chưa làm"),MAX(T$5:T298)+1,"")</f>
        <v/>
      </c>
      <c r="U299" s="9" t="str">
        <f aca="false">IF(AND(C299&lt;&gt;"",IF(K299="","Chưa làm",K299)="Đang làm"),MAX(U$5:U298)+1,"")</f>
        <v/>
      </c>
      <c r="V299" s="9" t="str">
        <f aca="false">IF(AND(C299&lt;&gt;"",IF(K299="","Chưa làm",K299)="Chờ duyệt"),MAX(V$5:V298)+1,"")</f>
        <v/>
      </c>
      <c r="W299" s="9" t="str">
        <f aca="false">IF(AND(C299&lt;&gt;"",IF(K299="","Chưa làm",K299)="Hoàn thành"),MAX(W$5:W298)+1,"")</f>
        <v/>
      </c>
      <c r="X299" s="9" t="str">
        <f aca="false">IF(AND(C299&lt;&gt;"",K299&lt;&gt;"Hoàn thành",N299="1. Làm ngay"),MAX(X$5:X298)+1,"")</f>
        <v/>
      </c>
      <c r="Y299" s="9" t="str">
        <f aca="false">IF(AND(C299&lt;&gt;"",K299&lt;&gt;"Hoàn thành",N299="2. Lên lịch"),MAX(Y$5:Y298)+1,"")</f>
        <v/>
      </c>
      <c r="Z299" s="9" t="str">
        <f aca="false">IF(AND(C299&lt;&gt;"",K299&lt;&gt;"Hoàn thành",N299="3. Giao lại"),MAX(Z$5:Z298)+1,"")</f>
        <v/>
      </c>
      <c r="AA299" s="9" t="str">
        <f aca="false">IF(AND(C299&lt;&gt;"",K299&lt;&gt;"Hoàn thành",N299="4. Để sau"),MAX(AA$5:AA298)+1,"")</f>
        <v/>
      </c>
      <c r="AB299" s="9" t="str">
        <f aca="false">IF(AND(C299&lt;&gt;"",J299&lt;&gt;"",J299&gt;=TUAN!$C$3,J299&lt;=TUAN!$C$3+6),MAX(AB$5:AB298)+1,"")</f>
        <v/>
      </c>
    </row>
    <row r="300" customFormat="false" ht="15" hidden="false" customHeight="false" outlineLevel="0" collapsed="false">
      <c r="A300" s="9" t="str">
        <f aca="false">IF(C300="","","CV"&amp;TEXT(ROW()-5,"000"))</f>
        <v/>
      </c>
      <c r="B300" s="10"/>
      <c r="C300" s="11"/>
      <c r="D300" s="12"/>
      <c r="E300" s="12"/>
      <c r="F300" s="12"/>
      <c r="G300" s="12"/>
      <c r="H300" s="12"/>
      <c r="I300" s="12"/>
      <c r="J300" s="10"/>
      <c r="K300" s="12"/>
      <c r="L300" s="10"/>
      <c r="M300" s="12"/>
      <c r="N300" s="9" t="str">
        <f aca="false">IF(C300="","",IF(AND(H300="Có",I300="Có"),"1. Làm ngay",IF(H300="Có","2. Lên lịch",IF(I300="Có","3. Giao lại","4. Để sau"))))</f>
        <v/>
      </c>
      <c r="O300" s="9" t="str">
        <f aca="true">IF(OR(C300="",J300="",K300="Hoàn thành"),"",J300-TODAY())</f>
        <v/>
      </c>
      <c r="P300" s="9" t="str">
        <f aca="true">IF(C300="","",IF(K300="Hoàn thành",IF(OR(L300="",J300=""),"Xong (thiếu ngày)",IF(L300&lt;=J300,"Xong đúng hạn","Xong trễ")),IF(J300="","Chưa có hạn",IF(J300&lt;TODAY(),"Quá hạn",IF(J300=TODAY(),"Đến hạn hôm nay",IF(J300-TODAY()&lt;=3,"Sắp đến hạn","Trong hạn"))))))</f>
        <v/>
      </c>
      <c r="Q300" s="9" t="str">
        <f aca="false">IF(OR(C300="",J300=""),"",WEEKNUM(J300,21))</f>
        <v/>
      </c>
      <c r="R300" s="2"/>
      <c r="S300" s="9" t="str">
        <f aca="true">IF(AND(C300&lt;&gt;"",K300&lt;&gt;"Hoàn thành",J300&lt;&gt;"",J300&lt;=TODAY()),MAX(S$5:S299)+1,"")</f>
        <v/>
      </c>
      <c r="T300" s="9" t="str">
        <f aca="false">IF(AND(C300&lt;&gt;"",IF(K300="","Chưa làm",K300)="Chưa làm"),MAX(T$5:T299)+1,"")</f>
        <v/>
      </c>
      <c r="U300" s="9" t="str">
        <f aca="false">IF(AND(C300&lt;&gt;"",IF(K300="","Chưa làm",K300)="Đang làm"),MAX(U$5:U299)+1,"")</f>
        <v/>
      </c>
      <c r="V300" s="9" t="str">
        <f aca="false">IF(AND(C300&lt;&gt;"",IF(K300="","Chưa làm",K300)="Chờ duyệt"),MAX(V$5:V299)+1,"")</f>
        <v/>
      </c>
      <c r="W300" s="9" t="str">
        <f aca="false">IF(AND(C300&lt;&gt;"",IF(K300="","Chưa làm",K300)="Hoàn thành"),MAX(W$5:W299)+1,"")</f>
        <v/>
      </c>
      <c r="X300" s="9" t="str">
        <f aca="false">IF(AND(C300&lt;&gt;"",K300&lt;&gt;"Hoàn thành",N300="1. Làm ngay"),MAX(X$5:X299)+1,"")</f>
        <v/>
      </c>
      <c r="Y300" s="9" t="str">
        <f aca="false">IF(AND(C300&lt;&gt;"",K300&lt;&gt;"Hoàn thành",N300="2. Lên lịch"),MAX(Y$5:Y299)+1,"")</f>
        <v/>
      </c>
      <c r="Z300" s="9" t="str">
        <f aca="false">IF(AND(C300&lt;&gt;"",K300&lt;&gt;"Hoàn thành",N300="3. Giao lại"),MAX(Z$5:Z299)+1,"")</f>
        <v/>
      </c>
      <c r="AA300" s="9" t="str">
        <f aca="false">IF(AND(C300&lt;&gt;"",K300&lt;&gt;"Hoàn thành",N300="4. Để sau"),MAX(AA$5:AA299)+1,"")</f>
        <v/>
      </c>
      <c r="AB300" s="9" t="str">
        <f aca="false">IF(AND(C300&lt;&gt;"",J300&lt;&gt;"",J300&gt;=TUAN!$C$3,J300&lt;=TUAN!$C$3+6),MAX(AB$5:AB299)+1,"")</f>
        <v/>
      </c>
    </row>
    <row r="301" customFormat="false" ht="15" hidden="false" customHeight="false" outlineLevel="0" collapsed="false">
      <c r="A301" s="9" t="str">
        <f aca="false">IF(C301="","","CV"&amp;TEXT(ROW()-5,"000"))</f>
        <v/>
      </c>
      <c r="B301" s="10"/>
      <c r="C301" s="11"/>
      <c r="D301" s="12"/>
      <c r="E301" s="12"/>
      <c r="F301" s="12"/>
      <c r="G301" s="12"/>
      <c r="H301" s="12"/>
      <c r="I301" s="12"/>
      <c r="J301" s="10"/>
      <c r="K301" s="12"/>
      <c r="L301" s="10"/>
      <c r="M301" s="12"/>
      <c r="N301" s="9" t="str">
        <f aca="false">IF(C301="","",IF(AND(H301="Có",I301="Có"),"1. Làm ngay",IF(H301="Có","2. Lên lịch",IF(I301="Có","3. Giao lại","4. Để sau"))))</f>
        <v/>
      </c>
      <c r="O301" s="9" t="str">
        <f aca="true">IF(OR(C301="",J301="",K301="Hoàn thành"),"",J301-TODAY())</f>
        <v/>
      </c>
      <c r="P301" s="9" t="str">
        <f aca="true">IF(C301="","",IF(K301="Hoàn thành",IF(OR(L301="",J301=""),"Xong (thiếu ngày)",IF(L301&lt;=J301,"Xong đúng hạn","Xong trễ")),IF(J301="","Chưa có hạn",IF(J301&lt;TODAY(),"Quá hạn",IF(J301=TODAY(),"Đến hạn hôm nay",IF(J301-TODAY()&lt;=3,"Sắp đến hạn","Trong hạn"))))))</f>
        <v/>
      </c>
      <c r="Q301" s="9" t="str">
        <f aca="false">IF(OR(C301="",J301=""),"",WEEKNUM(J301,21))</f>
        <v/>
      </c>
      <c r="R301" s="2"/>
      <c r="S301" s="9" t="str">
        <f aca="true">IF(AND(C301&lt;&gt;"",K301&lt;&gt;"Hoàn thành",J301&lt;&gt;"",J301&lt;=TODAY()),MAX(S$5:S300)+1,"")</f>
        <v/>
      </c>
      <c r="T301" s="9" t="str">
        <f aca="false">IF(AND(C301&lt;&gt;"",IF(K301="","Chưa làm",K301)="Chưa làm"),MAX(T$5:T300)+1,"")</f>
        <v/>
      </c>
      <c r="U301" s="9" t="str">
        <f aca="false">IF(AND(C301&lt;&gt;"",IF(K301="","Chưa làm",K301)="Đang làm"),MAX(U$5:U300)+1,"")</f>
        <v/>
      </c>
      <c r="V301" s="9" t="str">
        <f aca="false">IF(AND(C301&lt;&gt;"",IF(K301="","Chưa làm",K301)="Chờ duyệt"),MAX(V$5:V300)+1,"")</f>
        <v/>
      </c>
      <c r="W301" s="9" t="str">
        <f aca="false">IF(AND(C301&lt;&gt;"",IF(K301="","Chưa làm",K301)="Hoàn thành"),MAX(W$5:W300)+1,"")</f>
        <v/>
      </c>
      <c r="X301" s="9" t="str">
        <f aca="false">IF(AND(C301&lt;&gt;"",K301&lt;&gt;"Hoàn thành",N301="1. Làm ngay"),MAX(X$5:X300)+1,"")</f>
        <v/>
      </c>
      <c r="Y301" s="9" t="str">
        <f aca="false">IF(AND(C301&lt;&gt;"",K301&lt;&gt;"Hoàn thành",N301="2. Lên lịch"),MAX(Y$5:Y300)+1,"")</f>
        <v/>
      </c>
      <c r="Z301" s="9" t="str">
        <f aca="false">IF(AND(C301&lt;&gt;"",K301&lt;&gt;"Hoàn thành",N301="3. Giao lại"),MAX(Z$5:Z300)+1,"")</f>
        <v/>
      </c>
      <c r="AA301" s="9" t="str">
        <f aca="false">IF(AND(C301&lt;&gt;"",K301&lt;&gt;"Hoàn thành",N301="4. Để sau"),MAX(AA$5:AA300)+1,"")</f>
        <v/>
      </c>
      <c r="AB301" s="9" t="str">
        <f aca="false">IF(AND(C301&lt;&gt;"",J301&lt;&gt;"",J301&gt;=TUAN!$C$3,J301&lt;=TUAN!$C$3+6),MAX(AB$5:AB300)+1,"")</f>
        <v/>
      </c>
    </row>
    <row r="302" customFormat="false" ht="15" hidden="false" customHeight="false" outlineLevel="0" collapsed="false">
      <c r="A302" s="9" t="str">
        <f aca="false">IF(C302="","","CV"&amp;TEXT(ROW()-5,"000"))</f>
        <v/>
      </c>
      <c r="B302" s="10"/>
      <c r="C302" s="11"/>
      <c r="D302" s="12"/>
      <c r="E302" s="12"/>
      <c r="F302" s="12"/>
      <c r="G302" s="12"/>
      <c r="H302" s="12"/>
      <c r="I302" s="12"/>
      <c r="J302" s="10"/>
      <c r="K302" s="12"/>
      <c r="L302" s="10"/>
      <c r="M302" s="12"/>
      <c r="N302" s="9" t="str">
        <f aca="false">IF(C302="","",IF(AND(H302="Có",I302="Có"),"1. Làm ngay",IF(H302="Có","2. Lên lịch",IF(I302="Có","3. Giao lại","4. Để sau"))))</f>
        <v/>
      </c>
      <c r="O302" s="9" t="str">
        <f aca="true">IF(OR(C302="",J302="",K302="Hoàn thành"),"",J302-TODAY())</f>
        <v/>
      </c>
      <c r="P302" s="9" t="str">
        <f aca="true">IF(C302="","",IF(K302="Hoàn thành",IF(OR(L302="",J302=""),"Xong (thiếu ngày)",IF(L302&lt;=J302,"Xong đúng hạn","Xong trễ")),IF(J302="","Chưa có hạn",IF(J302&lt;TODAY(),"Quá hạn",IF(J302=TODAY(),"Đến hạn hôm nay",IF(J302-TODAY()&lt;=3,"Sắp đến hạn","Trong hạn"))))))</f>
        <v/>
      </c>
      <c r="Q302" s="9" t="str">
        <f aca="false">IF(OR(C302="",J302=""),"",WEEKNUM(J302,21))</f>
        <v/>
      </c>
      <c r="R302" s="2"/>
      <c r="S302" s="9" t="str">
        <f aca="true">IF(AND(C302&lt;&gt;"",K302&lt;&gt;"Hoàn thành",J302&lt;&gt;"",J302&lt;=TODAY()),MAX(S$5:S301)+1,"")</f>
        <v/>
      </c>
      <c r="T302" s="9" t="str">
        <f aca="false">IF(AND(C302&lt;&gt;"",IF(K302="","Chưa làm",K302)="Chưa làm"),MAX(T$5:T301)+1,"")</f>
        <v/>
      </c>
      <c r="U302" s="9" t="str">
        <f aca="false">IF(AND(C302&lt;&gt;"",IF(K302="","Chưa làm",K302)="Đang làm"),MAX(U$5:U301)+1,"")</f>
        <v/>
      </c>
      <c r="V302" s="9" t="str">
        <f aca="false">IF(AND(C302&lt;&gt;"",IF(K302="","Chưa làm",K302)="Chờ duyệt"),MAX(V$5:V301)+1,"")</f>
        <v/>
      </c>
      <c r="W302" s="9" t="str">
        <f aca="false">IF(AND(C302&lt;&gt;"",IF(K302="","Chưa làm",K302)="Hoàn thành"),MAX(W$5:W301)+1,"")</f>
        <v/>
      </c>
      <c r="X302" s="9" t="str">
        <f aca="false">IF(AND(C302&lt;&gt;"",K302&lt;&gt;"Hoàn thành",N302="1. Làm ngay"),MAX(X$5:X301)+1,"")</f>
        <v/>
      </c>
      <c r="Y302" s="9" t="str">
        <f aca="false">IF(AND(C302&lt;&gt;"",K302&lt;&gt;"Hoàn thành",N302="2. Lên lịch"),MAX(Y$5:Y301)+1,"")</f>
        <v/>
      </c>
      <c r="Z302" s="9" t="str">
        <f aca="false">IF(AND(C302&lt;&gt;"",K302&lt;&gt;"Hoàn thành",N302="3. Giao lại"),MAX(Z$5:Z301)+1,"")</f>
        <v/>
      </c>
      <c r="AA302" s="9" t="str">
        <f aca="false">IF(AND(C302&lt;&gt;"",K302&lt;&gt;"Hoàn thành",N302="4. Để sau"),MAX(AA$5:AA301)+1,"")</f>
        <v/>
      </c>
      <c r="AB302" s="9" t="str">
        <f aca="false">IF(AND(C302&lt;&gt;"",J302&lt;&gt;"",J302&gt;=TUAN!$C$3,J302&lt;=TUAN!$C$3+6),MAX(AB$5:AB301)+1,"")</f>
        <v/>
      </c>
    </row>
    <row r="303" customFormat="false" ht="15" hidden="false" customHeight="false" outlineLevel="0" collapsed="false">
      <c r="A303" s="9" t="str">
        <f aca="false">IF(C303="","","CV"&amp;TEXT(ROW()-5,"000"))</f>
        <v/>
      </c>
      <c r="B303" s="10"/>
      <c r="C303" s="11"/>
      <c r="D303" s="12"/>
      <c r="E303" s="12"/>
      <c r="F303" s="12"/>
      <c r="G303" s="12"/>
      <c r="H303" s="12"/>
      <c r="I303" s="12"/>
      <c r="J303" s="10"/>
      <c r="K303" s="12"/>
      <c r="L303" s="10"/>
      <c r="M303" s="12"/>
      <c r="N303" s="9" t="str">
        <f aca="false">IF(C303="","",IF(AND(H303="Có",I303="Có"),"1. Làm ngay",IF(H303="Có","2. Lên lịch",IF(I303="Có","3. Giao lại","4. Để sau"))))</f>
        <v/>
      </c>
      <c r="O303" s="9" t="str">
        <f aca="true">IF(OR(C303="",J303="",K303="Hoàn thành"),"",J303-TODAY())</f>
        <v/>
      </c>
      <c r="P303" s="9" t="str">
        <f aca="true">IF(C303="","",IF(K303="Hoàn thành",IF(OR(L303="",J303=""),"Xong (thiếu ngày)",IF(L303&lt;=J303,"Xong đúng hạn","Xong trễ")),IF(J303="","Chưa có hạn",IF(J303&lt;TODAY(),"Quá hạn",IF(J303=TODAY(),"Đến hạn hôm nay",IF(J303-TODAY()&lt;=3,"Sắp đến hạn","Trong hạn"))))))</f>
        <v/>
      </c>
      <c r="Q303" s="9" t="str">
        <f aca="false">IF(OR(C303="",J303=""),"",WEEKNUM(J303,21))</f>
        <v/>
      </c>
      <c r="R303" s="2"/>
      <c r="S303" s="9" t="str">
        <f aca="true">IF(AND(C303&lt;&gt;"",K303&lt;&gt;"Hoàn thành",J303&lt;&gt;"",J303&lt;=TODAY()),MAX(S$5:S302)+1,"")</f>
        <v/>
      </c>
      <c r="T303" s="9" t="str">
        <f aca="false">IF(AND(C303&lt;&gt;"",IF(K303="","Chưa làm",K303)="Chưa làm"),MAX(T$5:T302)+1,"")</f>
        <v/>
      </c>
      <c r="U303" s="9" t="str">
        <f aca="false">IF(AND(C303&lt;&gt;"",IF(K303="","Chưa làm",K303)="Đang làm"),MAX(U$5:U302)+1,"")</f>
        <v/>
      </c>
      <c r="V303" s="9" t="str">
        <f aca="false">IF(AND(C303&lt;&gt;"",IF(K303="","Chưa làm",K303)="Chờ duyệt"),MAX(V$5:V302)+1,"")</f>
        <v/>
      </c>
      <c r="W303" s="9" t="str">
        <f aca="false">IF(AND(C303&lt;&gt;"",IF(K303="","Chưa làm",K303)="Hoàn thành"),MAX(W$5:W302)+1,"")</f>
        <v/>
      </c>
      <c r="X303" s="9" t="str">
        <f aca="false">IF(AND(C303&lt;&gt;"",K303&lt;&gt;"Hoàn thành",N303="1. Làm ngay"),MAX(X$5:X302)+1,"")</f>
        <v/>
      </c>
      <c r="Y303" s="9" t="str">
        <f aca="false">IF(AND(C303&lt;&gt;"",K303&lt;&gt;"Hoàn thành",N303="2. Lên lịch"),MAX(Y$5:Y302)+1,"")</f>
        <v/>
      </c>
      <c r="Z303" s="9" t="str">
        <f aca="false">IF(AND(C303&lt;&gt;"",K303&lt;&gt;"Hoàn thành",N303="3. Giao lại"),MAX(Z$5:Z302)+1,"")</f>
        <v/>
      </c>
      <c r="AA303" s="9" t="str">
        <f aca="false">IF(AND(C303&lt;&gt;"",K303&lt;&gt;"Hoàn thành",N303="4. Để sau"),MAX(AA$5:AA302)+1,"")</f>
        <v/>
      </c>
      <c r="AB303" s="9" t="str">
        <f aca="false">IF(AND(C303&lt;&gt;"",J303&lt;&gt;"",J303&gt;=TUAN!$C$3,J303&lt;=TUAN!$C$3+6),MAX(AB$5:AB302)+1,"")</f>
        <v/>
      </c>
    </row>
    <row r="304" customFormat="false" ht="15" hidden="false" customHeight="false" outlineLevel="0" collapsed="false">
      <c r="A304" s="9" t="str">
        <f aca="false">IF(C304="","","CV"&amp;TEXT(ROW()-5,"000"))</f>
        <v/>
      </c>
      <c r="B304" s="10"/>
      <c r="C304" s="11"/>
      <c r="D304" s="12"/>
      <c r="E304" s="12"/>
      <c r="F304" s="12"/>
      <c r="G304" s="12"/>
      <c r="H304" s="12"/>
      <c r="I304" s="12"/>
      <c r="J304" s="10"/>
      <c r="K304" s="12"/>
      <c r="L304" s="10"/>
      <c r="M304" s="12"/>
      <c r="N304" s="9" t="str">
        <f aca="false">IF(C304="","",IF(AND(H304="Có",I304="Có"),"1. Làm ngay",IF(H304="Có","2. Lên lịch",IF(I304="Có","3. Giao lại","4. Để sau"))))</f>
        <v/>
      </c>
      <c r="O304" s="9" t="str">
        <f aca="true">IF(OR(C304="",J304="",K304="Hoàn thành"),"",J304-TODAY())</f>
        <v/>
      </c>
      <c r="P304" s="9" t="str">
        <f aca="true">IF(C304="","",IF(K304="Hoàn thành",IF(OR(L304="",J304=""),"Xong (thiếu ngày)",IF(L304&lt;=J304,"Xong đúng hạn","Xong trễ")),IF(J304="","Chưa có hạn",IF(J304&lt;TODAY(),"Quá hạn",IF(J304=TODAY(),"Đến hạn hôm nay",IF(J304-TODAY()&lt;=3,"Sắp đến hạn","Trong hạn"))))))</f>
        <v/>
      </c>
      <c r="Q304" s="9" t="str">
        <f aca="false">IF(OR(C304="",J304=""),"",WEEKNUM(J304,21))</f>
        <v/>
      </c>
      <c r="R304" s="2"/>
      <c r="S304" s="9" t="str">
        <f aca="true">IF(AND(C304&lt;&gt;"",K304&lt;&gt;"Hoàn thành",J304&lt;&gt;"",J304&lt;=TODAY()),MAX(S$5:S303)+1,"")</f>
        <v/>
      </c>
      <c r="T304" s="9" t="str">
        <f aca="false">IF(AND(C304&lt;&gt;"",IF(K304="","Chưa làm",K304)="Chưa làm"),MAX(T$5:T303)+1,"")</f>
        <v/>
      </c>
      <c r="U304" s="9" t="str">
        <f aca="false">IF(AND(C304&lt;&gt;"",IF(K304="","Chưa làm",K304)="Đang làm"),MAX(U$5:U303)+1,"")</f>
        <v/>
      </c>
      <c r="V304" s="9" t="str">
        <f aca="false">IF(AND(C304&lt;&gt;"",IF(K304="","Chưa làm",K304)="Chờ duyệt"),MAX(V$5:V303)+1,"")</f>
        <v/>
      </c>
      <c r="W304" s="9" t="str">
        <f aca="false">IF(AND(C304&lt;&gt;"",IF(K304="","Chưa làm",K304)="Hoàn thành"),MAX(W$5:W303)+1,"")</f>
        <v/>
      </c>
      <c r="X304" s="9" t="str">
        <f aca="false">IF(AND(C304&lt;&gt;"",K304&lt;&gt;"Hoàn thành",N304="1. Làm ngay"),MAX(X$5:X303)+1,"")</f>
        <v/>
      </c>
      <c r="Y304" s="9" t="str">
        <f aca="false">IF(AND(C304&lt;&gt;"",K304&lt;&gt;"Hoàn thành",N304="2. Lên lịch"),MAX(Y$5:Y303)+1,"")</f>
        <v/>
      </c>
      <c r="Z304" s="9" t="str">
        <f aca="false">IF(AND(C304&lt;&gt;"",K304&lt;&gt;"Hoàn thành",N304="3. Giao lại"),MAX(Z$5:Z303)+1,"")</f>
        <v/>
      </c>
      <c r="AA304" s="9" t="str">
        <f aca="false">IF(AND(C304&lt;&gt;"",K304&lt;&gt;"Hoàn thành",N304="4. Để sau"),MAX(AA$5:AA303)+1,"")</f>
        <v/>
      </c>
      <c r="AB304" s="9" t="str">
        <f aca="false">IF(AND(C304&lt;&gt;"",J304&lt;&gt;"",J304&gt;=TUAN!$C$3,J304&lt;=TUAN!$C$3+6),MAX(AB$5:AB303)+1,"")</f>
        <v/>
      </c>
    </row>
    <row r="305" customFormat="false" ht="15" hidden="false" customHeight="false" outlineLevel="0" collapsed="false">
      <c r="A305" s="9" t="str">
        <f aca="false">IF(C305="","","CV"&amp;TEXT(ROW()-5,"000"))</f>
        <v/>
      </c>
      <c r="B305" s="10"/>
      <c r="C305" s="11"/>
      <c r="D305" s="12"/>
      <c r="E305" s="12"/>
      <c r="F305" s="12"/>
      <c r="G305" s="12"/>
      <c r="H305" s="12"/>
      <c r="I305" s="12"/>
      <c r="J305" s="10"/>
      <c r="K305" s="12"/>
      <c r="L305" s="10"/>
      <c r="M305" s="12"/>
      <c r="N305" s="9" t="str">
        <f aca="false">IF(C305="","",IF(AND(H305="Có",I305="Có"),"1. Làm ngay",IF(H305="Có","2. Lên lịch",IF(I305="Có","3. Giao lại","4. Để sau"))))</f>
        <v/>
      </c>
      <c r="O305" s="9" t="str">
        <f aca="true">IF(OR(C305="",J305="",K305="Hoàn thành"),"",J305-TODAY())</f>
        <v/>
      </c>
      <c r="P305" s="9" t="str">
        <f aca="true">IF(C305="","",IF(K305="Hoàn thành",IF(OR(L305="",J305=""),"Xong (thiếu ngày)",IF(L305&lt;=J305,"Xong đúng hạn","Xong trễ")),IF(J305="","Chưa có hạn",IF(J305&lt;TODAY(),"Quá hạn",IF(J305=TODAY(),"Đến hạn hôm nay",IF(J305-TODAY()&lt;=3,"Sắp đến hạn","Trong hạn"))))))</f>
        <v/>
      </c>
      <c r="Q305" s="9" t="str">
        <f aca="false">IF(OR(C305="",J305=""),"",WEEKNUM(J305,21))</f>
        <v/>
      </c>
      <c r="R305" s="2"/>
      <c r="S305" s="9" t="str">
        <f aca="true">IF(AND(C305&lt;&gt;"",K305&lt;&gt;"Hoàn thành",J305&lt;&gt;"",J305&lt;=TODAY()),MAX(S$5:S304)+1,"")</f>
        <v/>
      </c>
      <c r="T305" s="9" t="str">
        <f aca="false">IF(AND(C305&lt;&gt;"",IF(K305="","Chưa làm",K305)="Chưa làm"),MAX(T$5:T304)+1,"")</f>
        <v/>
      </c>
      <c r="U305" s="9" t="str">
        <f aca="false">IF(AND(C305&lt;&gt;"",IF(K305="","Chưa làm",K305)="Đang làm"),MAX(U$5:U304)+1,"")</f>
        <v/>
      </c>
      <c r="V305" s="9" t="str">
        <f aca="false">IF(AND(C305&lt;&gt;"",IF(K305="","Chưa làm",K305)="Chờ duyệt"),MAX(V$5:V304)+1,"")</f>
        <v/>
      </c>
      <c r="W305" s="9" t="str">
        <f aca="false">IF(AND(C305&lt;&gt;"",IF(K305="","Chưa làm",K305)="Hoàn thành"),MAX(W$5:W304)+1,"")</f>
        <v/>
      </c>
      <c r="X305" s="9" t="str">
        <f aca="false">IF(AND(C305&lt;&gt;"",K305&lt;&gt;"Hoàn thành",N305="1. Làm ngay"),MAX(X$5:X304)+1,"")</f>
        <v/>
      </c>
      <c r="Y305" s="9" t="str">
        <f aca="false">IF(AND(C305&lt;&gt;"",K305&lt;&gt;"Hoàn thành",N305="2. Lên lịch"),MAX(Y$5:Y304)+1,"")</f>
        <v/>
      </c>
      <c r="Z305" s="9" t="str">
        <f aca="false">IF(AND(C305&lt;&gt;"",K305&lt;&gt;"Hoàn thành",N305="3. Giao lại"),MAX(Z$5:Z304)+1,"")</f>
        <v/>
      </c>
      <c r="AA305" s="9" t="str">
        <f aca="false">IF(AND(C305&lt;&gt;"",K305&lt;&gt;"Hoàn thành",N305="4. Để sau"),MAX(AA$5:AA304)+1,"")</f>
        <v/>
      </c>
      <c r="AB305" s="9" t="str">
        <f aca="false">IF(AND(C305&lt;&gt;"",J305&lt;&gt;"",J305&gt;=TUAN!$C$3,J305&lt;=TUAN!$C$3+6),MAX(AB$5:AB304)+1,"")</f>
        <v/>
      </c>
    </row>
  </sheetData>
  <autoFilter ref="A5:Q305"/>
  <conditionalFormatting sqref="P6:P305">
    <cfRule type="cellIs" priority="2" operator="equal" aboveAverage="0" equalAverage="0" bottom="0" percent="0" rank="0" text="" dxfId="13">
      <formula>"Quá hạn"</formula>
    </cfRule>
    <cfRule type="cellIs" priority="3" operator="equal" aboveAverage="0" equalAverage="0" bottom="0" percent="0" rank="0" text="" dxfId="13">
      <formula>"Đến hạn hôm nay"</formula>
    </cfRule>
    <cfRule type="cellIs" priority="4" operator="equal" aboveAverage="0" equalAverage="0" bottom="0" percent="0" rank="0" text="" dxfId="14">
      <formula>"Sắp đến hạn"</formula>
    </cfRule>
    <cfRule type="cellIs" priority="5" operator="equal" aboveAverage="0" equalAverage="0" bottom="0" percent="0" rank="0" text="" dxfId="15">
      <formula>"Xong đúng hạn"</formula>
    </cfRule>
    <cfRule type="cellIs" priority="6" operator="equal" aboveAverage="0" equalAverage="0" bottom="0" percent="0" rank="0" text="" dxfId="16">
      <formula>"Xong trễ"</formula>
    </cfRule>
  </conditionalFormatting>
  <dataValidations count="7">
    <dataValidation allowBlank="true" error="Chọn từ danh sách (sửa danh sách ở sheet DANH_MUC)." errorStyle="stop" errorTitle="Giá trị không hợp lệ" operator="between" showDropDown="false" showErrorMessage="true" showInputMessage="false" sqref="D6:D305" type="list">
      <formula1>DANH_MUC!$A$5:$A$14</formula1>
      <formula2>0</formula2>
    </dataValidation>
    <dataValidation allowBlank="true" error="Chọn từ danh sách (sửa danh sách ở sheet DANH_MUC)." errorStyle="stop" errorTitle="Giá trị không hợp lệ" operator="between" showDropDown="false" showErrorMessage="true" showInputMessage="false" sqref="E6:E305" type="list">
      <formula1>DANH_MUC!$B$5:$B$14</formula1>
      <formula2>0</formula2>
    </dataValidation>
    <dataValidation allowBlank="true" error="Chọn từ danh sách (sửa danh sách ở sheet DANH_MUC)." errorStyle="stop" errorTitle="Giá trị không hợp lệ" operator="between" showDropDown="false" showErrorMessage="true" showInputMessage="false" sqref="F6:F305" type="list">
      <formula1>DANH_MUC!$C$5:$C$24</formula1>
      <formula2>0</formula2>
    </dataValidation>
    <dataValidation allowBlank="true" error="Chọn từ danh sách (sửa danh sách ở sheet DANH_MUC)." errorStyle="stop" errorTitle="Giá trị không hợp lệ" operator="between" showDropDown="false" showErrorMessage="true" showInputMessage="false" sqref="G6:G305" type="list">
      <formula1>DANH_MUC!$D$5:$D$14</formula1>
      <formula2>0</formula2>
    </dataValidation>
    <dataValidation allowBlank="true" error="Chọn từ danh sách (sửa danh sách ở sheet DANH_MUC)." errorStyle="stop" errorTitle="Giá trị không hợp lệ" operator="between" showDropDown="false" showErrorMessage="true" showInputMessage="false" sqref="H6:I305" type="list">
      <formula1>DANH_MUC!$F$5:$F$6</formula1>
      <formula2>0</formula2>
    </dataValidation>
    <dataValidation allowBlank="true" error="Chọn từ danh sách (sửa danh sách ở sheet DANH_MUC)." errorStyle="stop" errorTitle="Giá trị không hợp lệ" operator="between" showDropDown="false" showErrorMessage="true" showInputMessage="false" sqref="K6:K305" type="list">
      <formula1>DANH_MUC!$E$5:$E$8</formula1>
      <formula2>0</formula2>
    </dataValidation>
    <dataValidation allowBlank="false" error="Nhập ngày dạng dd/mm/yyyy." errorStyle="stop" errorTitle="Ngày không hợp lệ" operator="greaterThan" showDropDown="false" showErrorMessage="true" showInputMessage="false" sqref="B6:B305 J6:J305 L6:L30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3"/>
  </cols>
  <sheetData>
    <row r="1" customFormat="false" ht="19.7" hidden="false" customHeight="false" outlineLevel="0" collapsed="false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13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">
        <v>49</v>
      </c>
      <c r="B3" s="14" t="n">
        <f aca="true">TODAY()</f>
        <v>46288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true" outlineLevel="0" collapsed="false">
      <c r="A5" s="15" t="s">
        <v>50</v>
      </c>
      <c r="B5" s="15"/>
      <c r="C5" s="15" t="s">
        <v>51</v>
      </c>
      <c r="D5" s="15"/>
      <c r="E5" s="15" t="s">
        <v>52</v>
      </c>
      <c r="F5" s="15"/>
      <c r="G5" s="15" t="s">
        <v>53</v>
      </c>
      <c r="H5" s="15"/>
      <c r="I5" s="15" t="s">
        <v>54</v>
      </c>
      <c r="J5" s="15"/>
      <c r="K5" s="15" t="s">
        <v>55</v>
      </c>
      <c r="L5" s="15"/>
      <c r="M5" s="15" t="s">
        <v>56</v>
      </c>
      <c r="N5" s="15"/>
    </row>
    <row r="6" customFormat="false" ht="33.75" hidden="false" customHeight="true" outlineLevel="0" collapsed="false">
      <c r="A6" s="16" t="n">
        <f aca="false">COUNTIF(CONG_VIEC!$C$6:$C$305,"?*")</f>
        <v>5</v>
      </c>
      <c r="B6" s="16"/>
      <c r="C6" s="16" t="n">
        <f aca="false">COUNTIF(CONG_VIEC!$C$6:$C$305,"?*")-COUNTIF(CONG_VIEC!$K$6:$K$305,"Hoàn thành")</f>
        <v>4</v>
      </c>
      <c r="D6" s="16"/>
      <c r="E6" s="17" t="n">
        <f aca="false">COUNTIF(CONG_VIEC!$P$6:$P$305,"Quá hạn")</f>
        <v>1</v>
      </c>
      <c r="F6" s="17"/>
      <c r="G6" s="16" t="n">
        <f aca="false">COUNTIF(CONG_VIEC!$P$6:$P$305,"Sắp đến hạn")+COUNTIF(CONG_VIEC!$P$6:$P$305,"Đến hạn hôm nay")</f>
        <v>2</v>
      </c>
      <c r="H6" s="16"/>
      <c r="I6" s="16" t="n">
        <f aca="false">COUNTIF(CONG_VIEC!$K$6:$K$305,"Hoàn thành")</f>
        <v>1</v>
      </c>
      <c r="J6" s="16"/>
      <c r="K6" s="18" t="n">
        <f aca="false">IFERROR(COUNTIF(CONG_VIEC!$P$6:$P$305,"Xong đúng hạn")/(COUNTIF(CONG_VIEC!$P$6:$P$305,"Xong đúng hạn")+COUNTIF(CONG_VIEC!$P$6:$P$305,"Xong trễ")),"")</f>
        <v>1</v>
      </c>
      <c r="L6" s="18"/>
      <c r="M6" s="18" t="n">
        <f aca="false">IFERROR(COUNTIFS(CONG_VIEC!$C$6:$C$305,"?*",CONG_VIEC!$J$6:$J$305,"&lt;&gt;",CONG_VIEC!$F$6:$F$305,"?*")/COUNTIF(CONG_VIEC!$C$6:$C$305,"?*"),"")</f>
        <v>1</v>
      </c>
      <c r="N6" s="18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5" t="s">
        <v>57</v>
      </c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19" t="s">
        <v>58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26.85" hidden="false" customHeight="false" outlineLevel="0" collapsed="false">
      <c r="A10" s="6" t="s">
        <v>7</v>
      </c>
      <c r="B10" s="6" t="s">
        <v>59</v>
      </c>
      <c r="C10" s="6" t="s">
        <v>51</v>
      </c>
      <c r="D10" s="6" t="s">
        <v>52</v>
      </c>
      <c r="E10" s="6" t="s">
        <v>60</v>
      </c>
      <c r="F10" s="6" t="s">
        <v>46</v>
      </c>
      <c r="G10" s="6" t="s">
        <v>61</v>
      </c>
      <c r="H10" s="6" t="s">
        <v>62</v>
      </c>
      <c r="I10" s="6" t="s">
        <v>63</v>
      </c>
      <c r="J10" s="6" t="s">
        <v>64</v>
      </c>
      <c r="K10" s="2"/>
      <c r="L10" s="2"/>
      <c r="M10" s="2"/>
      <c r="N10" s="2"/>
    </row>
    <row r="11" customFormat="false" ht="15" hidden="false" customHeight="false" outlineLevel="0" collapsed="false">
      <c r="A11" s="20" t="str">
        <f aca="false">IF(DANH_MUC!A5="","",DANH_MUC!A5)</f>
        <v>Đơn vị 1 (sửa tên)</v>
      </c>
      <c r="B11" s="20" t="n">
        <f aca="false">IF(A11="","",COUNTIF(CONG_VIEC!$D$6:$D$305,A11))</f>
        <v>2</v>
      </c>
      <c r="C11" s="20" t="n">
        <f aca="false">IF(A11="","",B11-COUNTIFS(CONG_VIEC!$D$6:$D$305,A11,CONG_VIEC!$K$6:$K$305,"Hoàn thành"))</f>
        <v>1</v>
      </c>
      <c r="D11" s="21" t="n">
        <f aca="false">IF(A11="","",COUNTIFS(CONG_VIEC!$D$6:$D$305,A11,CONG_VIEC!$P$6:$P$305,"Quá hạn"))</f>
        <v>1</v>
      </c>
      <c r="E11" s="20" t="n">
        <f aca="false">IF(A11="","",COUNTIFS(CONG_VIEC!$D$6:$D$305,A11,CONG_VIEC!$P$6:$P$305,"Sắp đến hạn")+COUNTIFS(CONG_VIEC!$D$6:$D$305,A11,CONG_VIEC!$P$6:$P$305,"Đến hạn hôm nay"))</f>
        <v>0</v>
      </c>
      <c r="F11" s="20" t="n">
        <f aca="false">IF(A11="","",COUNTIFS(CONG_VIEC!$D$6:$D$305,A11,CONG_VIEC!$K$6:$K$305,"Hoàn thành"))</f>
        <v>1</v>
      </c>
      <c r="G11" s="20" t="n">
        <f aca="false">IF(A11="","",COUNTIFS(CONG_VIEC!$D$6:$D$305,A11,CONG_VIEC!$P$6:$P$305,"Xong đúng hạn"))</f>
        <v>1</v>
      </c>
      <c r="H11" s="20" t="n">
        <f aca="false">IF(A11="","",COUNTIFS(CONG_VIEC!$D$6:$D$305,A11,CONG_VIEC!$P$6:$P$305,"Xong trễ"))</f>
        <v>0</v>
      </c>
      <c r="I11" s="22" t="n">
        <f aca="false">IF(A11="","",IFERROR(G11/(G11+H11),"-"))</f>
        <v>1</v>
      </c>
      <c r="J11" s="22" t="n">
        <f aca="false">IF(A11="","",IFERROR(F11/B11,"-"))</f>
        <v>0.5</v>
      </c>
      <c r="K11" s="2"/>
      <c r="L11" s="2"/>
      <c r="M11" s="2"/>
      <c r="N11" s="2"/>
    </row>
    <row r="12" customFormat="false" ht="15" hidden="false" customHeight="false" outlineLevel="0" collapsed="false">
      <c r="A12" s="20" t="str">
        <f aca="false">IF(DANH_MUC!A6="","",DANH_MUC!A6)</f>
        <v>Đơn vị 2 (sửa tên)</v>
      </c>
      <c r="B12" s="20" t="n">
        <f aca="false">IF(A12="","",COUNTIF(CONG_VIEC!$D$6:$D$305,A12))</f>
        <v>2</v>
      </c>
      <c r="C12" s="20" t="n">
        <f aca="false">IF(A12="","",B12-COUNTIFS(CONG_VIEC!$D$6:$D$305,A12,CONG_VIEC!$K$6:$K$305,"Hoàn thành"))</f>
        <v>2</v>
      </c>
      <c r="D12" s="21" t="n">
        <f aca="false">IF(A12="","",COUNTIFS(CONG_VIEC!$D$6:$D$305,A12,CONG_VIEC!$P$6:$P$305,"Quá hạn"))</f>
        <v>0</v>
      </c>
      <c r="E12" s="20" t="n">
        <f aca="false">IF(A12="","",COUNTIFS(CONG_VIEC!$D$6:$D$305,A12,CONG_VIEC!$P$6:$P$305,"Sắp đến hạn")+COUNTIFS(CONG_VIEC!$D$6:$D$305,A12,CONG_VIEC!$P$6:$P$305,"Đến hạn hôm nay"))</f>
        <v>1</v>
      </c>
      <c r="F12" s="20" t="n">
        <f aca="false">IF(A12="","",COUNTIFS(CONG_VIEC!$D$6:$D$305,A12,CONG_VIEC!$K$6:$K$305,"Hoàn thành"))</f>
        <v>0</v>
      </c>
      <c r="G12" s="20" t="n">
        <f aca="false">IF(A12="","",COUNTIFS(CONG_VIEC!$D$6:$D$305,A12,CONG_VIEC!$P$6:$P$305,"Xong đúng hạn"))</f>
        <v>0</v>
      </c>
      <c r="H12" s="20" t="n">
        <f aca="false">IF(A12="","",COUNTIFS(CONG_VIEC!$D$6:$D$305,A12,CONG_VIEC!$P$6:$P$305,"Xong trễ"))</f>
        <v>0</v>
      </c>
      <c r="I12" s="22" t="str">
        <f aca="false">IF(A12="","",IFERROR(G12/(G12+H12),"-"))</f>
        <v>-</v>
      </c>
      <c r="J12" s="22" t="n">
        <f aca="false">IF(A12="","",IFERROR(F12/B12,"-"))</f>
        <v>0</v>
      </c>
      <c r="K12" s="2"/>
      <c r="L12" s="2"/>
      <c r="M12" s="2"/>
      <c r="N12" s="2"/>
    </row>
    <row r="13" customFormat="false" ht="15" hidden="false" customHeight="false" outlineLevel="0" collapsed="false">
      <c r="A13" s="20" t="str">
        <f aca="false">IF(DANH_MUC!A7="","",DANH_MUC!A7)</f>
        <v>Đơn vị 3 (sửa tên)</v>
      </c>
      <c r="B13" s="20" t="n">
        <f aca="false">IF(A13="","",COUNTIF(CONG_VIEC!$D$6:$D$305,A13))</f>
        <v>1</v>
      </c>
      <c r="C13" s="20" t="n">
        <f aca="false">IF(A13="","",B13-COUNTIFS(CONG_VIEC!$D$6:$D$305,A13,CONG_VIEC!$K$6:$K$305,"Hoàn thành"))</f>
        <v>1</v>
      </c>
      <c r="D13" s="21" t="n">
        <f aca="false">IF(A13="","",COUNTIFS(CONG_VIEC!$D$6:$D$305,A13,CONG_VIEC!$P$6:$P$305,"Quá hạn"))</f>
        <v>0</v>
      </c>
      <c r="E13" s="20" t="n">
        <f aca="false">IF(A13="","",COUNTIFS(CONG_VIEC!$D$6:$D$305,A13,CONG_VIEC!$P$6:$P$305,"Sắp đến hạn")+COUNTIFS(CONG_VIEC!$D$6:$D$305,A13,CONG_VIEC!$P$6:$P$305,"Đến hạn hôm nay"))</f>
        <v>1</v>
      </c>
      <c r="F13" s="20" t="n">
        <f aca="false">IF(A13="","",COUNTIFS(CONG_VIEC!$D$6:$D$305,A13,CONG_VIEC!$K$6:$K$305,"Hoàn thành"))</f>
        <v>0</v>
      </c>
      <c r="G13" s="20" t="n">
        <f aca="false">IF(A13="","",COUNTIFS(CONG_VIEC!$D$6:$D$305,A13,CONG_VIEC!$P$6:$P$305,"Xong đúng hạn"))</f>
        <v>0</v>
      </c>
      <c r="H13" s="20" t="n">
        <f aca="false">IF(A13="","",COUNTIFS(CONG_VIEC!$D$6:$D$305,A13,CONG_VIEC!$P$6:$P$305,"Xong trễ"))</f>
        <v>0</v>
      </c>
      <c r="I13" s="22" t="str">
        <f aca="false">IF(A13="","",IFERROR(G13/(G13+H13),"-"))</f>
        <v>-</v>
      </c>
      <c r="J13" s="22" t="n">
        <f aca="false">IF(A13="","",IFERROR(F13/B13,"-"))</f>
        <v>0</v>
      </c>
      <c r="K13" s="2"/>
      <c r="L13" s="2"/>
      <c r="M13" s="2"/>
      <c r="N13" s="2"/>
    </row>
    <row r="14" customFormat="false" ht="15" hidden="false" customHeight="false" outlineLevel="0" collapsed="false">
      <c r="A14" s="20" t="str">
        <f aca="false">IF(DANH_MUC!A8="","",DANH_MUC!A8)</f>
        <v>Đơn vị 4 (sửa tên)</v>
      </c>
      <c r="B14" s="20" t="n">
        <f aca="false">IF(A14="","",COUNTIF(CONG_VIEC!$D$6:$D$305,A14))</f>
        <v>0</v>
      </c>
      <c r="C14" s="20" t="n">
        <f aca="false">IF(A14="","",B14-COUNTIFS(CONG_VIEC!$D$6:$D$305,A14,CONG_VIEC!$K$6:$K$305,"Hoàn thành"))</f>
        <v>0</v>
      </c>
      <c r="D14" s="21" t="n">
        <f aca="false">IF(A14="","",COUNTIFS(CONG_VIEC!$D$6:$D$305,A14,CONG_VIEC!$P$6:$P$305,"Quá hạn"))</f>
        <v>0</v>
      </c>
      <c r="E14" s="20" t="n">
        <f aca="false">IF(A14="","",COUNTIFS(CONG_VIEC!$D$6:$D$305,A14,CONG_VIEC!$P$6:$P$305,"Sắp đến hạn")+COUNTIFS(CONG_VIEC!$D$6:$D$305,A14,CONG_VIEC!$P$6:$P$305,"Đến hạn hôm nay"))</f>
        <v>0</v>
      </c>
      <c r="F14" s="20" t="n">
        <f aca="false">IF(A14="","",COUNTIFS(CONG_VIEC!$D$6:$D$305,A14,CONG_VIEC!$K$6:$K$305,"Hoàn thành"))</f>
        <v>0</v>
      </c>
      <c r="G14" s="20" t="n">
        <f aca="false">IF(A14="","",COUNTIFS(CONG_VIEC!$D$6:$D$305,A14,CONG_VIEC!$P$6:$P$305,"Xong đúng hạn"))</f>
        <v>0</v>
      </c>
      <c r="H14" s="20" t="n">
        <f aca="false">IF(A14="","",COUNTIFS(CONG_VIEC!$D$6:$D$305,A14,CONG_VIEC!$P$6:$P$305,"Xong trễ"))</f>
        <v>0</v>
      </c>
      <c r="I14" s="22" t="str">
        <f aca="false">IF(A14="","",IFERROR(G14/(G14+H14),"-"))</f>
        <v>-</v>
      </c>
      <c r="J14" s="22" t="str">
        <f aca="false">IF(A14="","",IFERROR(F14/B14,"-"))</f>
        <v>-</v>
      </c>
      <c r="K14" s="2"/>
      <c r="L14" s="2"/>
      <c r="M14" s="2"/>
      <c r="N14" s="2"/>
    </row>
    <row r="15" customFormat="false" ht="15" hidden="false" customHeight="false" outlineLevel="0" collapsed="false">
      <c r="A15" s="20" t="str">
        <f aca="false">IF(DANH_MUC!A9="","",DANH_MUC!A9)</f>
        <v>Đơn vị 5 (sửa tên)</v>
      </c>
      <c r="B15" s="20" t="n">
        <f aca="false">IF(A15="","",COUNTIF(CONG_VIEC!$D$6:$D$305,A15))</f>
        <v>0</v>
      </c>
      <c r="C15" s="20" t="n">
        <f aca="false">IF(A15="","",B15-COUNTIFS(CONG_VIEC!$D$6:$D$305,A15,CONG_VIEC!$K$6:$K$305,"Hoàn thành"))</f>
        <v>0</v>
      </c>
      <c r="D15" s="21" t="n">
        <f aca="false">IF(A15="","",COUNTIFS(CONG_VIEC!$D$6:$D$305,A15,CONG_VIEC!$P$6:$P$305,"Quá hạn"))</f>
        <v>0</v>
      </c>
      <c r="E15" s="20" t="n">
        <f aca="false">IF(A15="","",COUNTIFS(CONG_VIEC!$D$6:$D$305,A15,CONG_VIEC!$P$6:$P$305,"Sắp đến hạn")+COUNTIFS(CONG_VIEC!$D$6:$D$305,A15,CONG_VIEC!$P$6:$P$305,"Đến hạn hôm nay"))</f>
        <v>0</v>
      </c>
      <c r="F15" s="20" t="n">
        <f aca="false">IF(A15="","",COUNTIFS(CONG_VIEC!$D$6:$D$305,A15,CONG_VIEC!$K$6:$K$305,"Hoàn thành"))</f>
        <v>0</v>
      </c>
      <c r="G15" s="20" t="n">
        <f aca="false">IF(A15="","",COUNTIFS(CONG_VIEC!$D$6:$D$305,A15,CONG_VIEC!$P$6:$P$305,"Xong đúng hạn"))</f>
        <v>0</v>
      </c>
      <c r="H15" s="20" t="n">
        <f aca="false">IF(A15="","",COUNTIFS(CONG_VIEC!$D$6:$D$305,A15,CONG_VIEC!$P$6:$P$305,"Xong trễ"))</f>
        <v>0</v>
      </c>
      <c r="I15" s="22" t="str">
        <f aca="false">IF(A15="","",IFERROR(G15/(G15+H15),"-"))</f>
        <v>-</v>
      </c>
      <c r="J15" s="22" t="str">
        <f aca="false">IF(A15="","",IFERROR(F15/B15,"-"))</f>
        <v>-</v>
      </c>
      <c r="K15" s="2"/>
      <c r="L15" s="2"/>
      <c r="M15" s="2"/>
      <c r="N15" s="2"/>
    </row>
    <row r="16" customFormat="false" ht="15" hidden="false" customHeight="false" outlineLevel="0" collapsed="false">
      <c r="A16" s="20" t="str">
        <f aca="false">IF(DANH_MUC!A10="","",DANH_MUC!A10)</f>
        <v>Đơn vị 6 (sửa tên)</v>
      </c>
      <c r="B16" s="20" t="n">
        <f aca="false">IF(A16="","",COUNTIF(CONG_VIEC!$D$6:$D$305,A16))</f>
        <v>0</v>
      </c>
      <c r="C16" s="20" t="n">
        <f aca="false">IF(A16="","",B16-COUNTIFS(CONG_VIEC!$D$6:$D$305,A16,CONG_VIEC!$K$6:$K$305,"Hoàn thành"))</f>
        <v>0</v>
      </c>
      <c r="D16" s="21" t="n">
        <f aca="false">IF(A16="","",COUNTIFS(CONG_VIEC!$D$6:$D$305,A16,CONG_VIEC!$P$6:$P$305,"Quá hạn"))</f>
        <v>0</v>
      </c>
      <c r="E16" s="20" t="n">
        <f aca="false">IF(A16="","",COUNTIFS(CONG_VIEC!$D$6:$D$305,A16,CONG_VIEC!$P$6:$P$305,"Sắp đến hạn")+COUNTIFS(CONG_VIEC!$D$6:$D$305,A16,CONG_VIEC!$P$6:$P$305,"Đến hạn hôm nay"))</f>
        <v>0</v>
      </c>
      <c r="F16" s="20" t="n">
        <f aca="false">IF(A16="","",COUNTIFS(CONG_VIEC!$D$6:$D$305,A16,CONG_VIEC!$K$6:$K$305,"Hoàn thành"))</f>
        <v>0</v>
      </c>
      <c r="G16" s="20" t="n">
        <f aca="false">IF(A16="","",COUNTIFS(CONG_VIEC!$D$6:$D$305,A16,CONG_VIEC!$P$6:$P$305,"Xong đúng hạn"))</f>
        <v>0</v>
      </c>
      <c r="H16" s="20" t="n">
        <f aca="false">IF(A16="","",COUNTIFS(CONG_VIEC!$D$6:$D$305,A16,CONG_VIEC!$P$6:$P$305,"Xong trễ"))</f>
        <v>0</v>
      </c>
      <c r="I16" s="22" t="str">
        <f aca="false">IF(A16="","",IFERROR(G16/(G16+H16),"-"))</f>
        <v>-</v>
      </c>
      <c r="J16" s="22" t="str">
        <f aca="false">IF(A16="","",IFERROR(F16/B16,"-"))</f>
        <v>-</v>
      </c>
      <c r="K16" s="2"/>
      <c r="L16" s="2"/>
      <c r="M16" s="2"/>
      <c r="N16" s="2"/>
    </row>
    <row r="17" customFormat="false" ht="15" hidden="false" customHeight="false" outlineLevel="0" collapsed="false">
      <c r="A17" s="20" t="str">
        <f aca="false">IF(DANH_MUC!A11="","",DANH_MUC!A11)</f>
        <v/>
      </c>
      <c r="B17" s="20" t="str">
        <f aca="false">IF(A17="","",COUNTIF(CONG_VIEC!$D$6:$D$305,A17))</f>
        <v/>
      </c>
      <c r="C17" s="20" t="str">
        <f aca="false">IF(A17="","",B17-COUNTIFS(CONG_VIEC!$D$6:$D$305,A17,CONG_VIEC!$K$6:$K$305,"Hoàn thành"))</f>
        <v/>
      </c>
      <c r="D17" s="20" t="str">
        <f aca="false">IF(A17="","",COUNTIFS(CONG_VIEC!$D$6:$D$305,A17,CONG_VIEC!$P$6:$P$305,"Quá hạn"))</f>
        <v/>
      </c>
      <c r="E17" s="20" t="str">
        <f aca="false">IF(A17="","",COUNTIFS(CONG_VIEC!$D$6:$D$305,A17,CONG_VIEC!$P$6:$P$305,"Sắp đến hạn")+COUNTIFS(CONG_VIEC!$D$6:$D$305,A17,CONG_VIEC!$P$6:$P$305,"Đến hạn hôm nay"))</f>
        <v/>
      </c>
      <c r="F17" s="20" t="str">
        <f aca="false">IF(A17="","",COUNTIFS(CONG_VIEC!$D$6:$D$305,A17,CONG_VIEC!$K$6:$K$305,"Hoàn thành"))</f>
        <v/>
      </c>
      <c r="G17" s="20" t="str">
        <f aca="false">IF(A17="","",COUNTIFS(CONG_VIEC!$D$6:$D$305,A17,CONG_VIEC!$P$6:$P$305,"Xong đúng hạn"))</f>
        <v/>
      </c>
      <c r="H17" s="20" t="str">
        <f aca="false">IF(A17="","",COUNTIFS(CONG_VIEC!$D$6:$D$305,A17,CONG_VIEC!$P$6:$P$305,"Xong trễ"))</f>
        <v/>
      </c>
      <c r="I17" s="22" t="str">
        <f aca="false">IF(A17="","",IFERROR(G17/(G17+H17),"-"))</f>
        <v/>
      </c>
      <c r="J17" s="22" t="str">
        <f aca="false">IF(A17="","",IFERROR(F17/B17,"-"))</f>
        <v/>
      </c>
      <c r="K17" s="2"/>
      <c r="L17" s="2"/>
      <c r="M17" s="2"/>
      <c r="N17" s="2"/>
    </row>
    <row r="18" customFormat="false" ht="15" hidden="false" customHeight="false" outlineLevel="0" collapsed="false">
      <c r="A18" s="20" t="str">
        <f aca="false">IF(DANH_MUC!A12="","",DANH_MUC!A12)</f>
        <v/>
      </c>
      <c r="B18" s="20" t="str">
        <f aca="false">IF(A18="","",COUNTIF(CONG_VIEC!$D$6:$D$305,A18))</f>
        <v/>
      </c>
      <c r="C18" s="20" t="str">
        <f aca="false">IF(A18="","",B18-COUNTIFS(CONG_VIEC!$D$6:$D$305,A18,CONG_VIEC!$K$6:$K$305,"Hoàn thành"))</f>
        <v/>
      </c>
      <c r="D18" s="20" t="str">
        <f aca="false">IF(A18="","",COUNTIFS(CONG_VIEC!$D$6:$D$305,A18,CONG_VIEC!$P$6:$P$305,"Quá hạn"))</f>
        <v/>
      </c>
      <c r="E18" s="20" t="str">
        <f aca="false">IF(A18="","",COUNTIFS(CONG_VIEC!$D$6:$D$305,A18,CONG_VIEC!$P$6:$P$305,"Sắp đến hạn")+COUNTIFS(CONG_VIEC!$D$6:$D$305,A18,CONG_VIEC!$P$6:$P$305,"Đến hạn hôm nay"))</f>
        <v/>
      </c>
      <c r="F18" s="20" t="str">
        <f aca="false">IF(A18="","",COUNTIFS(CONG_VIEC!$D$6:$D$305,A18,CONG_VIEC!$K$6:$K$305,"Hoàn thành"))</f>
        <v/>
      </c>
      <c r="G18" s="20" t="str">
        <f aca="false">IF(A18="","",COUNTIFS(CONG_VIEC!$D$6:$D$305,A18,CONG_VIEC!$P$6:$P$305,"Xong đúng hạn"))</f>
        <v/>
      </c>
      <c r="H18" s="20" t="str">
        <f aca="false">IF(A18="","",COUNTIFS(CONG_VIEC!$D$6:$D$305,A18,CONG_VIEC!$P$6:$P$305,"Xong trễ"))</f>
        <v/>
      </c>
      <c r="I18" s="22" t="str">
        <f aca="false">IF(A18="","",IFERROR(G18/(G18+H18),"-"))</f>
        <v/>
      </c>
      <c r="J18" s="22" t="str">
        <f aca="false">IF(A18="","",IFERROR(F18/B18,"-"))</f>
        <v/>
      </c>
      <c r="K18" s="2"/>
      <c r="L18" s="2"/>
      <c r="M18" s="2"/>
      <c r="N18" s="2"/>
    </row>
    <row r="19" customFormat="false" ht="15" hidden="false" customHeight="false" outlineLevel="0" collapsed="false">
      <c r="A19" s="20" t="str">
        <f aca="false">IF(DANH_MUC!A13="","",DANH_MUC!A13)</f>
        <v/>
      </c>
      <c r="B19" s="20" t="str">
        <f aca="false">IF(A19="","",COUNTIF(CONG_VIEC!$D$6:$D$305,A19))</f>
        <v/>
      </c>
      <c r="C19" s="20" t="str">
        <f aca="false">IF(A19="","",B19-COUNTIFS(CONG_VIEC!$D$6:$D$305,A19,CONG_VIEC!$K$6:$K$305,"Hoàn thành"))</f>
        <v/>
      </c>
      <c r="D19" s="20" t="str">
        <f aca="false">IF(A19="","",COUNTIFS(CONG_VIEC!$D$6:$D$305,A19,CONG_VIEC!$P$6:$P$305,"Quá hạn"))</f>
        <v/>
      </c>
      <c r="E19" s="20" t="str">
        <f aca="false">IF(A19="","",COUNTIFS(CONG_VIEC!$D$6:$D$305,A19,CONG_VIEC!$P$6:$P$305,"Sắp đến hạn")+COUNTIFS(CONG_VIEC!$D$6:$D$305,A19,CONG_VIEC!$P$6:$P$305,"Đến hạn hôm nay"))</f>
        <v/>
      </c>
      <c r="F19" s="20" t="str">
        <f aca="false">IF(A19="","",COUNTIFS(CONG_VIEC!$D$6:$D$305,A19,CONG_VIEC!$K$6:$K$305,"Hoàn thành"))</f>
        <v/>
      </c>
      <c r="G19" s="20" t="str">
        <f aca="false">IF(A19="","",COUNTIFS(CONG_VIEC!$D$6:$D$305,A19,CONG_VIEC!$P$6:$P$305,"Xong đúng hạn"))</f>
        <v/>
      </c>
      <c r="H19" s="20" t="str">
        <f aca="false">IF(A19="","",COUNTIFS(CONG_VIEC!$D$6:$D$305,A19,CONG_VIEC!$P$6:$P$305,"Xong trễ"))</f>
        <v/>
      </c>
      <c r="I19" s="22" t="str">
        <f aca="false">IF(A19="","",IFERROR(G19/(G19+H19),"-"))</f>
        <v/>
      </c>
      <c r="J19" s="22" t="str">
        <f aca="false">IF(A19="","",IFERROR(F19/B19,"-"))</f>
        <v/>
      </c>
      <c r="K19" s="2"/>
      <c r="L19" s="2"/>
      <c r="M19" s="2"/>
      <c r="N19" s="2"/>
    </row>
    <row r="20" customFormat="false" ht="15" hidden="false" customHeight="false" outlineLevel="0" collapsed="false">
      <c r="A20" s="20" t="str">
        <f aca="false">IF(DANH_MUC!A14="","",DANH_MUC!A14)</f>
        <v/>
      </c>
      <c r="B20" s="20" t="str">
        <f aca="false">IF(A20="","",COUNTIF(CONG_VIEC!$D$6:$D$305,A20))</f>
        <v/>
      </c>
      <c r="C20" s="20" t="str">
        <f aca="false">IF(A20="","",B20-COUNTIFS(CONG_VIEC!$D$6:$D$305,A20,CONG_VIEC!$K$6:$K$305,"Hoàn thành"))</f>
        <v/>
      </c>
      <c r="D20" s="20" t="str">
        <f aca="false">IF(A20="","",COUNTIFS(CONG_VIEC!$D$6:$D$305,A20,CONG_VIEC!$P$6:$P$305,"Quá hạn"))</f>
        <v/>
      </c>
      <c r="E20" s="20" t="str">
        <f aca="false">IF(A20="","",COUNTIFS(CONG_VIEC!$D$6:$D$305,A20,CONG_VIEC!$P$6:$P$305,"Sắp đến hạn")+COUNTIFS(CONG_VIEC!$D$6:$D$305,A20,CONG_VIEC!$P$6:$P$305,"Đến hạn hôm nay"))</f>
        <v/>
      </c>
      <c r="F20" s="20" t="str">
        <f aca="false">IF(A20="","",COUNTIFS(CONG_VIEC!$D$6:$D$305,A20,CONG_VIEC!$K$6:$K$305,"Hoàn thành"))</f>
        <v/>
      </c>
      <c r="G20" s="20" t="str">
        <f aca="false">IF(A20="","",COUNTIFS(CONG_VIEC!$D$6:$D$305,A20,CONG_VIEC!$P$6:$P$305,"Xong đúng hạn"))</f>
        <v/>
      </c>
      <c r="H20" s="20" t="str">
        <f aca="false">IF(A20="","",COUNTIFS(CONG_VIEC!$D$6:$D$305,A20,CONG_VIEC!$P$6:$P$305,"Xong trễ"))</f>
        <v/>
      </c>
      <c r="I20" s="22" t="str">
        <f aca="false">IF(A20="","",IFERROR(G20/(G20+H20),"-"))</f>
        <v/>
      </c>
      <c r="J20" s="22" t="str">
        <f aca="false">IF(A20="","",IFERROR(F20/B20,"-"))</f>
        <v/>
      </c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19" t="s">
        <v>65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26.85" hidden="false" customHeight="false" outlineLevel="0" collapsed="false">
      <c r="A23" s="6" t="s">
        <v>9</v>
      </c>
      <c r="B23" s="6" t="s">
        <v>59</v>
      </c>
      <c r="C23" s="6" t="s">
        <v>51</v>
      </c>
      <c r="D23" s="6" t="s">
        <v>52</v>
      </c>
      <c r="E23" s="6" t="s">
        <v>60</v>
      </c>
      <c r="F23" s="6" t="s">
        <v>46</v>
      </c>
      <c r="G23" s="6" t="s">
        <v>61</v>
      </c>
      <c r="H23" s="6" t="s">
        <v>62</v>
      </c>
      <c r="I23" s="6" t="s">
        <v>63</v>
      </c>
      <c r="J23" s="6" t="s">
        <v>64</v>
      </c>
      <c r="K23" s="2"/>
      <c r="L23" s="2"/>
      <c r="M23" s="2"/>
      <c r="N23" s="2"/>
    </row>
    <row r="24" customFormat="false" ht="15" hidden="false" customHeight="false" outlineLevel="0" collapsed="false">
      <c r="A24" s="20" t="str">
        <f aca="false">IF(DANH_MUC!C5="","",DANH_MUC!C5)</f>
        <v>Người 1 (sửa tên)</v>
      </c>
      <c r="B24" s="20" t="n">
        <f aca="false">IF(A24="","",COUNTIF(CONG_VIEC!$F$6:$F$305,A24))</f>
        <v>2</v>
      </c>
      <c r="C24" s="20" t="n">
        <f aca="false">IF(A24="","",B24-COUNTIFS(CONG_VIEC!$F$6:$F$305,A24,CONG_VIEC!$K$6:$K$305,"Hoàn thành"))</f>
        <v>1</v>
      </c>
      <c r="D24" s="21" t="n">
        <f aca="false">IF(A24="","",COUNTIFS(CONG_VIEC!$F$6:$F$305,A24,CONG_VIEC!$P$6:$P$305,"Quá hạn"))</f>
        <v>1</v>
      </c>
      <c r="E24" s="20" t="n">
        <f aca="false">IF(A24="","",COUNTIFS(CONG_VIEC!$F$6:$F$305,A24,CONG_VIEC!$P$6:$P$305,"Sắp đến hạn")+COUNTIFS(CONG_VIEC!$F$6:$F$305,A24,CONG_VIEC!$P$6:$P$305,"Đến hạn hôm nay"))</f>
        <v>0</v>
      </c>
      <c r="F24" s="20" t="n">
        <f aca="false">IF(A24="","",COUNTIFS(CONG_VIEC!$F$6:$F$305,A24,CONG_VIEC!$K$6:$K$305,"Hoàn thành"))</f>
        <v>1</v>
      </c>
      <c r="G24" s="20" t="n">
        <f aca="false">IF(A24="","",COUNTIFS(CONG_VIEC!$F$6:$F$305,A24,CONG_VIEC!$P$6:$P$305,"Xong đúng hạn"))</f>
        <v>1</v>
      </c>
      <c r="H24" s="20" t="n">
        <f aca="false">IF(A24="","",COUNTIFS(CONG_VIEC!$F$6:$F$305,A24,CONG_VIEC!$P$6:$P$305,"Xong trễ"))</f>
        <v>0</v>
      </c>
      <c r="I24" s="22" t="n">
        <f aca="false">IF(A24="","",IFERROR(G24/(G24+H24),"-"))</f>
        <v>1</v>
      </c>
      <c r="J24" s="22" t="n">
        <f aca="false">IF(A24="","",IFERROR(F24/B24,"-"))</f>
        <v>0.5</v>
      </c>
      <c r="K24" s="2"/>
      <c r="L24" s="2"/>
      <c r="M24" s="2"/>
      <c r="N24" s="2"/>
    </row>
    <row r="25" customFormat="false" ht="15" hidden="false" customHeight="false" outlineLevel="0" collapsed="false">
      <c r="A25" s="20" t="str">
        <f aca="false">IF(DANH_MUC!C6="","",DANH_MUC!C6)</f>
        <v>Người 2 (sửa tên)</v>
      </c>
      <c r="B25" s="20" t="n">
        <f aca="false">IF(A25="","",COUNTIF(CONG_VIEC!$F$6:$F$305,A25))</f>
        <v>1</v>
      </c>
      <c r="C25" s="20" t="n">
        <f aca="false">IF(A25="","",B25-COUNTIFS(CONG_VIEC!$F$6:$F$305,A25,CONG_VIEC!$K$6:$K$305,"Hoàn thành"))</f>
        <v>1</v>
      </c>
      <c r="D25" s="21" t="n">
        <f aca="false">IF(A25="","",COUNTIFS(CONG_VIEC!$F$6:$F$305,A25,CONG_VIEC!$P$6:$P$305,"Quá hạn"))</f>
        <v>0</v>
      </c>
      <c r="E25" s="20" t="n">
        <f aca="false">IF(A25="","",COUNTIFS(CONG_VIEC!$F$6:$F$305,A25,CONG_VIEC!$P$6:$P$305,"Sắp đến hạn")+COUNTIFS(CONG_VIEC!$F$6:$F$305,A25,CONG_VIEC!$P$6:$P$305,"Đến hạn hôm nay"))</f>
        <v>1</v>
      </c>
      <c r="F25" s="20" t="n">
        <f aca="false">IF(A25="","",COUNTIFS(CONG_VIEC!$F$6:$F$305,A25,CONG_VIEC!$K$6:$K$305,"Hoàn thành"))</f>
        <v>0</v>
      </c>
      <c r="G25" s="20" t="n">
        <f aca="false">IF(A25="","",COUNTIFS(CONG_VIEC!$F$6:$F$305,A25,CONG_VIEC!$P$6:$P$305,"Xong đúng hạn"))</f>
        <v>0</v>
      </c>
      <c r="H25" s="20" t="n">
        <f aca="false">IF(A25="","",COUNTIFS(CONG_VIEC!$F$6:$F$305,A25,CONG_VIEC!$P$6:$P$305,"Xong trễ"))</f>
        <v>0</v>
      </c>
      <c r="I25" s="22" t="str">
        <f aca="false">IF(A25="","",IFERROR(G25/(G25+H25),"-"))</f>
        <v>-</v>
      </c>
      <c r="J25" s="22" t="n">
        <f aca="false">IF(A25="","",IFERROR(F25/B25,"-"))</f>
        <v>0</v>
      </c>
      <c r="K25" s="2"/>
      <c r="L25" s="2"/>
      <c r="M25" s="2"/>
      <c r="N25" s="2"/>
    </row>
    <row r="26" customFormat="false" ht="15" hidden="false" customHeight="false" outlineLevel="0" collapsed="false">
      <c r="A26" s="20" t="str">
        <f aca="false">IF(DANH_MUC!C7="","",DANH_MUC!C7)</f>
        <v>Người 3 (sửa tên)</v>
      </c>
      <c r="B26" s="20" t="n">
        <f aca="false">IF(A26="","",COUNTIF(CONG_VIEC!$F$6:$F$305,A26))</f>
        <v>1</v>
      </c>
      <c r="C26" s="20" t="n">
        <f aca="false">IF(A26="","",B26-COUNTIFS(CONG_VIEC!$F$6:$F$305,A26,CONG_VIEC!$K$6:$K$305,"Hoàn thành"))</f>
        <v>1</v>
      </c>
      <c r="D26" s="21" t="n">
        <f aca="false">IF(A26="","",COUNTIFS(CONG_VIEC!$F$6:$F$305,A26,CONG_VIEC!$P$6:$P$305,"Quá hạn"))</f>
        <v>0</v>
      </c>
      <c r="E26" s="20" t="n">
        <f aca="false">IF(A26="","",COUNTIFS(CONG_VIEC!$F$6:$F$305,A26,CONG_VIEC!$P$6:$P$305,"Sắp đến hạn")+COUNTIFS(CONG_VIEC!$F$6:$F$305,A26,CONG_VIEC!$P$6:$P$305,"Đến hạn hôm nay"))</f>
        <v>1</v>
      </c>
      <c r="F26" s="20" t="n">
        <f aca="false">IF(A26="","",COUNTIFS(CONG_VIEC!$F$6:$F$305,A26,CONG_VIEC!$K$6:$K$305,"Hoàn thành"))</f>
        <v>0</v>
      </c>
      <c r="G26" s="20" t="n">
        <f aca="false">IF(A26="","",COUNTIFS(CONG_VIEC!$F$6:$F$305,A26,CONG_VIEC!$P$6:$P$305,"Xong đúng hạn"))</f>
        <v>0</v>
      </c>
      <c r="H26" s="20" t="n">
        <f aca="false">IF(A26="","",COUNTIFS(CONG_VIEC!$F$6:$F$305,A26,CONG_VIEC!$P$6:$P$305,"Xong trễ"))</f>
        <v>0</v>
      </c>
      <c r="I26" s="22" t="str">
        <f aca="false">IF(A26="","",IFERROR(G26/(G26+H26),"-"))</f>
        <v>-</v>
      </c>
      <c r="J26" s="22" t="n">
        <f aca="false">IF(A26="","",IFERROR(F26/B26,"-"))</f>
        <v>0</v>
      </c>
      <c r="K26" s="2"/>
      <c r="L26" s="2"/>
      <c r="M26" s="2"/>
      <c r="N26" s="2"/>
    </row>
    <row r="27" customFormat="false" ht="15" hidden="false" customHeight="false" outlineLevel="0" collapsed="false">
      <c r="A27" s="20" t="str">
        <f aca="false">IF(DANH_MUC!C8="","",DANH_MUC!C8)</f>
        <v>Người 4 (sửa tên)</v>
      </c>
      <c r="B27" s="20" t="n">
        <f aca="false">IF(A27="","",COUNTIF(CONG_VIEC!$F$6:$F$305,A27))</f>
        <v>1</v>
      </c>
      <c r="C27" s="20" t="n">
        <f aca="false">IF(A27="","",B27-COUNTIFS(CONG_VIEC!$F$6:$F$305,A27,CONG_VIEC!$K$6:$K$305,"Hoàn thành"))</f>
        <v>1</v>
      </c>
      <c r="D27" s="21" t="n">
        <f aca="false">IF(A27="","",COUNTIFS(CONG_VIEC!$F$6:$F$305,A27,CONG_VIEC!$P$6:$P$305,"Quá hạn"))</f>
        <v>0</v>
      </c>
      <c r="E27" s="20" t="n">
        <f aca="false">IF(A27="","",COUNTIFS(CONG_VIEC!$F$6:$F$305,A27,CONG_VIEC!$P$6:$P$305,"Sắp đến hạn")+COUNTIFS(CONG_VIEC!$F$6:$F$305,A27,CONG_VIEC!$P$6:$P$305,"Đến hạn hôm nay"))</f>
        <v>0</v>
      </c>
      <c r="F27" s="20" t="n">
        <f aca="false">IF(A27="","",COUNTIFS(CONG_VIEC!$F$6:$F$305,A27,CONG_VIEC!$K$6:$K$305,"Hoàn thành"))</f>
        <v>0</v>
      </c>
      <c r="G27" s="20" t="n">
        <f aca="false">IF(A27="","",COUNTIFS(CONG_VIEC!$F$6:$F$305,A27,CONG_VIEC!$P$6:$P$305,"Xong đúng hạn"))</f>
        <v>0</v>
      </c>
      <c r="H27" s="20" t="n">
        <f aca="false">IF(A27="","",COUNTIFS(CONG_VIEC!$F$6:$F$305,A27,CONG_VIEC!$P$6:$P$305,"Xong trễ"))</f>
        <v>0</v>
      </c>
      <c r="I27" s="22" t="str">
        <f aca="false">IF(A27="","",IFERROR(G27/(G27+H27),"-"))</f>
        <v>-</v>
      </c>
      <c r="J27" s="22" t="n">
        <f aca="false">IF(A27="","",IFERROR(F27/B27,"-"))</f>
        <v>0</v>
      </c>
      <c r="K27" s="2"/>
      <c r="L27" s="2"/>
      <c r="M27" s="2"/>
      <c r="N27" s="2"/>
    </row>
    <row r="28" customFormat="false" ht="15" hidden="false" customHeight="false" outlineLevel="0" collapsed="false">
      <c r="A28" s="20" t="str">
        <f aca="false">IF(DANH_MUC!C9="","",DANH_MUC!C9)</f>
        <v>Người 5 (sửa tên)</v>
      </c>
      <c r="B28" s="20" t="n">
        <f aca="false">IF(A28="","",COUNTIF(CONG_VIEC!$F$6:$F$305,A28))</f>
        <v>0</v>
      </c>
      <c r="C28" s="20" t="n">
        <f aca="false">IF(A28="","",B28-COUNTIFS(CONG_VIEC!$F$6:$F$305,A28,CONG_VIEC!$K$6:$K$305,"Hoàn thành"))</f>
        <v>0</v>
      </c>
      <c r="D28" s="21" t="n">
        <f aca="false">IF(A28="","",COUNTIFS(CONG_VIEC!$F$6:$F$305,A28,CONG_VIEC!$P$6:$P$305,"Quá hạn"))</f>
        <v>0</v>
      </c>
      <c r="E28" s="20" t="n">
        <f aca="false">IF(A28="","",COUNTIFS(CONG_VIEC!$F$6:$F$305,A28,CONG_VIEC!$P$6:$P$305,"Sắp đến hạn")+COUNTIFS(CONG_VIEC!$F$6:$F$305,A28,CONG_VIEC!$P$6:$P$305,"Đến hạn hôm nay"))</f>
        <v>0</v>
      </c>
      <c r="F28" s="20" t="n">
        <f aca="false">IF(A28="","",COUNTIFS(CONG_VIEC!$F$6:$F$305,A28,CONG_VIEC!$K$6:$K$305,"Hoàn thành"))</f>
        <v>0</v>
      </c>
      <c r="G28" s="20" t="n">
        <f aca="false">IF(A28="","",COUNTIFS(CONG_VIEC!$F$6:$F$305,A28,CONG_VIEC!$P$6:$P$305,"Xong đúng hạn"))</f>
        <v>0</v>
      </c>
      <c r="H28" s="20" t="n">
        <f aca="false">IF(A28="","",COUNTIFS(CONG_VIEC!$F$6:$F$305,A28,CONG_VIEC!$P$6:$P$305,"Xong trễ"))</f>
        <v>0</v>
      </c>
      <c r="I28" s="22" t="str">
        <f aca="false">IF(A28="","",IFERROR(G28/(G28+H28),"-"))</f>
        <v>-</v>
      </c>
      <c r="J28" s="22" t="str">
        <f aca="false">IF(A28="","",IFERROR(F28/B28,"-"))</f>
        <v>-</v>
      </c>
      <c r="K28" s="2"/>
      <c r="L28" s="2"/>
      <c r="M28" s="2"/>
      <c r="N28" s="2"/>
    </row>
    <row r="29" customFormat="false" ht="15" hidden="false" customHeight="false" outlineLevel="0" collapsed="false">
      <c r="A29" s="20" t="str">
        <f aca="false">IF(DANH_MUC!C10="","",DANH_MUC!C10)</f>
        <v>Người 6 (sửa tên)</v>
      </c>
      <c r="B29" s="20" t="n">
        <f aca="false">IF(A29="","",COUNTIF(CONG_VIEC!$F$6:$F$305,A29))</f>
        <v>0</v>
      </c>
      <c r="C29" s="20" t="n">
        <f aca="false">IF(A29="","",B29-COUNTIFS(CONG_VIEC!$F$6:$F$305,A29,CONG_VIEC!$K$6:$K$305,"Hoàn thành"))</f>
        <v>0</v>
      </c>
      <c r="D29" s="21" t="n">
        <f aca="false">IF(A29="","",COUNTIFS(CONG_VIEC!$F$6:$F$305,A29,CONG_VIEC!$P$6:$P$305,"Quá hạn"))</f>
        <v>0</v>
      </c>
      <c r="E29" s="20" t="n">
        <f aca="false">IF(A29="","",COUNTIFS(CONG_VIEC!$F$6:$F$305,A29,CONG_VIEC!$P$6:$P$305,"Sắp đến hạn")+COUNTIFS(CONG_VIEC!$F$6:$F$305,A29,CONG_VIEC!$P$6:$P$305,"Đến hạn hôm nay"))</f>
        <v>0</v>
      </c>
      <c r="F29" s="20" t="n">
        <f aca="false">IF(A29="","",COUNTIFS(CONG_VIEC!$F$6:$F$305,A29,CONG_VIEC!$K$6:$K$305,"Hoàn thành"))</f>
        <v>0</v>
      </c>
      <c r="G29" s="20" t="n">
        <f aca="false">IF(A29="","",COUNTIFS(CONG_VIEC!$F$6:$F$305,A29,CONG_VIEC!$P$6:$P$305,"Xong đúng hạn"))</f>
        <v>0</v>
      </c>
      <c r="H29" s="20" t="n">
        <f aca="false">IF(A29="","",COUNTIFS(CONG_VIEC!$F$6:$F$305,A29,CONG_VIEC!$P$6:$P$305,"Xong trễ"))</f>
        <v>0</v>
      </c>
      <c r="I29" s="22" t="str">
        <f aca="false">IF(A29="","",IFERROR(G29/(G29+H29),"-"))</f>
        <v>-</v>
      </c>
      <c r="J29" s="22" t="str">
        <f aca="false">IF(A29="","",IFERROR(F29/B29,"-"))</f>
        <v>-</v>
      </c>
      <c r="K29" s="2"/>
      <c r="L29" s="2"/>
      <c r="M29" s="2"/>
      <c r="N29" s="2"/>
    </row>
    <row r="30" customFormat="false" ht="15" hidden="false" customHeight="false" outlineLevel="0" collapsed="false">
      <c r="A30" s="20" t="str">
        <f aca="false">IF(DANH_MUC!C11="","",DANH_MUC!C11)</f>
        <v>Người 7 (sửa tên)</v>
      </c>
      <c r="B30" s="20" t="n">
        <f aca="false">IF(A30="","",COUNTIF(CONG_VIEC!$F$6:$F$305,A30))</f>
        <v>0</v>
      </c>
      <c r="C30" s="20" t="n">
        <f aca="false">IF(A30="","",B30-COUNTIFS(CONG_VIEC!$F$6:$F$305,A30,CONG_VIEC!$K$6:$K$305,"Hoàn thành"))</f>
        <v>0</v>
      </c>
      <c r="D30" s="21" t="n">
        <f aca="false">IF(A30="","",COUNTIFS(CONG_VIEC!$F$6:$F$305,A30,CONG_VIEC!$P$6:$P$305,"Quá hạn"))</f>
        <v>0</v>
      </c>
      <c r="E30" s="20" t="n">
        <f aca="false">IF(A30="","",COUNTIFS(CONG_VIEC!$F$6:$F$305,A30,CONG_VIEC!$P$6:$P$305,"Sắp đến hạn")+COUNTIFS(CONG_VIEC!$F$6:$F$305,A30,CONG_VIEC!$P$6:$P$305,"Đến hạn hôm nay"))</f>
        <v>0</v>
      </c>
      <c r="F30" s="20" t="n">
        <f aca="false">IF(A30="","",COUNTIFS(CONG_VIEC!$F$6:$F$305,A30,CONG_VIEC!$K$6:$K$305,"Hoàn thành"))</f>
        <v>0</v>
      </c>
      <c r="G30" s="20" t="n">
        <f aca="false">IF(A30="","",COUNTIFS(CONG_VIEC!$F$6:$F$305,A30,CONG_VIEC!$P$6:$P$305,"Xong đúng hạn"))</f>
        <v>0</v>
      </c>
      <c r="H30" s="20" t="n">
        <f aca="false">IF(A30="","",COUNTIFS(CONG_VIEC!$F$6:$F$305,A30,CONG_VIEC!$P$6:$P$305,"Xong trễ"))</f>
        <v>0</v>
      </c>
      <c r="I30" s="22" t="str">
        <f aca="false">IF(A30="","",IFERROR(G30/(G30+H30),"-"))</f>
        <v>-</v>
      </c>
      <c r="J30" s="22" t="str">
        <f aca="false">IF(A30="","",IFERROR(F30/B30,"-"))</f>
        <v>-</v>
      </c>
      <c r="K30" s="2"/>
      <c r="L30" s="2"/>
      <c r="M30" s="2"/>
      <c r="N30" s="2"/>
    </row>
    <row r="31" customFormat="false" ht="15" hidden="false" customHeight="false" outlineLevel="0" collapsed="false">
      <c r="A31" s="20" t="str">
        <f aca="false">IF(DANH_MUC!C12="","",DANH_MUC!C12)</f>
        <v>Người 8 (sửa tên)</v>
      </c>
      <c r="B31" s="20" t="n">
        <f aca="false">IF(A31="","",COUNTIF(CONG_VIEC!$F$6:$F$305,A31))</f>
        <v>0</v>
      </c>
      <c r="C31" s="20" t="n">
        <f aca="false">IF(A31="","",B31-COUNTIFS(CONG_VIEC!$F$6:$F$305,A31,CONG_VIEC!$K$6:$K$305,"Hoàn thành"))</f>
        <v>0</v>
      </c>
      <c r="D31" s="21" t="n">
        <f aca="false">IF(A31="","",COUNTIFS(CONG_VIEC!$F$6:$F$305,A31,CONG_VIEC!$P$6:$P$305,"Quá hạn"))</f>
        <v>0</v>
      </c>
      <c r="E31" s="20" t="n">
        <f aca="false">IF(A31="","",COUNTIFS(CONG_VIEC!$F$6:$F$305,A31,CONG_VIEC!$P$6:$P$305,"Sắp đến hạn")+COUNTIFS(CONG_VIEC!$F$6:$F$305,A31,CONG_VIEC!$P$6:$P$305,"Đến hạn hôm nay"))</f>
        <v>0</v>
      </c>
      <c r="F31" s="20" t="n">
        <f aca="false">IF(A31="","",COUNTIFS(CONG_VIEC!$F$6:$F$305,A31,CONG_VIEC!$K$6:$K$305,"Hoàn thành"))</f>
        <v>0</v>
      </c>
      <c r="G31" s="20" t="n">
        <f aca="false">IF(A31="","",COUNTIFS(CONG_VIEC!$F$6:$F$305,A31,CONG_VIEC!$P$6:$P$305,"Xong đúng hạn"))</f>
        <v>0</v>
      </c>
      <c r="H31" s="20" t="n">
        <f aca="false">IF(A31="","",COUNTIFS(CONG_VIEC!$F$6:$F$305,A31,CONG_VIEC!$P$6:$P$305,"Xong trễ"))</f>
        <v>0</v>
      </c>
      <c r="I31" s="22" t="str">
        <f aca="false">IF(A31="","",IFERROR(G31/(G31+H31),"-"))</f>
        <v>-</v>
      </c>
      <c r="J31" s="22" t="str">
        <f aca="false">IF(A31="","",IFERROR(F31/B31,"-"))</f>
        <v>-</v>
      </c>
      <c r="K31" s="2"/>
      <c r="L31" s="2"/>
      <c r="M31" s="2"/>
      <c r="N31" s="2"/>
    </row>
    <row r="32" customFormat="false" ht="15" hidden="false" customHeight="false" outlineLevel="0" collapsed="false">
      <c r="A32" s="20" t="str">
        <f aca="false">IF(DANH_MUC!C13="","",DANH_MUC!C13)</f>
        <v/>
      </c>
      <c r="B32" s="20" t="str">
        <f aca="false">IF(A32="","",COUNTIF(CONG_VIEC!$F$6:$F$305,A32))</f>
        <v/>
      </c>
      <c r="C32" s="20" t="str">
        <f aca="false">IF(A32="","",B32-COUNTIFS(CONG_VIEC!$F$6:$F$305,A32,CONG_VIEC!$K$6:$K$305,"Hoàn thành"))</f>
        <v/>
      </c>
      <c r="D32" s="20" t="str">
        <f aca="false">IF(A32="","",COUNTIFS(CONG_VIEC!$F$6:$F$305,A32,CONG_VIEC!$P$6:$P$305,"Quá hạn"))</f>
        <v/>
      </c>
      <c r="E32" s="20" t="str">
        <f aca="false">IF(A32="","",COUNTIFS(CONG_VIEC!$F$6:$F$305,A32,CONG_VIEC!$P$6:$P$305,"Sắp đến hạn")+COUNTIFS(CONG_VIEC!$F$6:$F$305,A32,CONG_VIEC!$P$6:$P$305,"Đến hạn hôm nay"))</f>
        <v/>
      </c>
      <c r="F32" s="20" t="str">
        <f aca="false">IF(A32="","",COUNTIFS(CONG_VIEC!$F$6:$F$305,A32,CONG_VIEC!$K$6:$K$305,"Hoàn thành"))</f>
        <v/>
      </c>
      <c r="G32" s="20" t="str">
        <f aca="false">IF(A32="","",COUNTIFS(CONG_VIEC!$F$6:$F$305,A32,CONG_VIEC!$P$6:$P$305,"Xong đúng hạn"))</f>
        <v/>
      </c>
      <c r="H32" s="20" t="str">
        <f aca="false">IF(A32="","",COUNTIFS(CONG_VIEC!$F$6:$F$305,A32,CONG_VIEC!$P$6:$P$305,"Xong trễ"))</f>
        <v/>
      </c>
      <c r="I32" s="22" t="str">
        <f aca="false">IF(A32="","",IFERROR(G32/(G32+H32),"-"))</f>
        <v/>
      </c>
      <c r="J32" s="22" t="str">
        <f aca="false">IF(A32="","",IFERROR(F32/B32,"-"))</f>
        <v/>
      </c>
      <c r="K32" s="2"/>
      <c r="L32" s="2"/>
      <c r="M32" s="2"/>
      <c r="N32" s="2"/>
    </row>
    <row r="33" customFormat="false" ht="15" hidden="false" customHeight="false" outlineLevel="0" collapsed="false">
      <c r="A33" s="20" t="str">
        <f aca="false">IF(DANH_MUC!C14="","",DANH_MUC!C14)</f>
        <v/>
      </c>
      <c r="B33" s="20" t="str">
        <f aca="false">IF(A33="","",COUNTIF(CONG_VIEC!$F$6:$F$305,A33))</f>
        <v/>
      </c>
      <c r="C33" s="20" t="str">
        <f aca="false">IF(A33="","",B33-COUNTIFS(CONG_VIEC!$F$6:$F$305,A33,CONG_VIEC!$K$6:$K$305,"Hoàn thành"))</f>
        <v/>
      </c>
      <c r="D33" s="20" t="str">
        <f aca="false">IF(A33="","",COUNTIFS(CONG_VIEC!$F$6:$F$305,A33,CONG_VIEC!$P$6:$P$305,"Quá hạn"))</f>
        <v/>
      </c>
      <c r="E33" s="20" t="str">
        <f aca="false">IF(A33="","",COUNTIFS(CONG_VIEC!$F$6:$F$305,A33,CONG_VIEC!$P$6:$P$305,"Sắp đến hạn")+COUNTIFS(CONG_VIEC!$F$6:$F$305,A33,CONG_VIEC!$P$6:$P$305,"Đến hạn hôm nay"))</f>
        <v/>
      </c>
      <c r="F33" s="20" t="str">
        <f aca="false">IF(A33="","",COUNTIFS(CONG_VIEC!$F$6:$F$305,A33,CONG_VIEC!$K$6:$K$305,"Hoàn thành"))</f>
        <v/>
      </c>
      <c r="G33" s="20" t="str">
        <f aca="false">IF(A33="","",COUNTIFS(CONG_VIEC!$F$6:$F$305,A33,CONG_VIEC!$P$6:$P$305,"Xong đúng hạn"))</f>
        <v/>
      </c>
      <c r="H33" s="20" t="str">
        <f aca="false">IF(A33="","",COUNTIFS(CONG_VIEC!$F$6:$F$305,A33,CONG_VIEC!$P$6:$P$305,"Xong trễ"))</f>
        <v/>
      </c>
      <c r="I33" s="22" t="str">
        <f aca="false">IF(A33="","",IFERROR(G33/(G33+H33),"-"))</f>
        <v/>
      </c>
      <c r="J33" s="22" t="str">
        <f aca="false">IF(A33="","",IFERROR(F33/B33,"-"))</f>
        <v/>
      </c>
      <c r="K33" s="2"/>
      <c r="L33" s="2"/>
      <c r="M33" s="2"/>
      <c r="N33" s="2"/>
    </row>
    <row r="34" customFormat="false" ht="15" hidden="false" customHeight="false" outlineLevel="0" collapsed="false">
      <c r="A34" s="20" t="str">
        <f aca="false">IF(DANH_MUC!C15="","",DANH_MUC!C15)</f>
        <v/>
      </c>
      <c r="B34" s="20" t="str">
        <f aca="false">IF(A34="","",COUNTIF(CONG_VIEC!$F$6:$F$305,A34))</f>
        <v/>
      </c>
      <c r="C34" s="20" t="str">
        <f aca="false">IF(A34="","",B34-COUNTIFS(CONG_VIEC!$F$6:$F$305,A34,CONG_VIEC!$K$6:$K$305,"Hoàn thành"))</f>
        <v/>
      </c>
      <c r="D34" s="20" t="str">
        <f aca="false">IF(A34="","",COUNTIFS(CONG_VIEC!$F$6:$F$305,A34,CONG_VIEC!$P$6:$P$305,"Quá hạn"))</f>
        <v/>
      </c>
      <c r="E34" s="20" t="str">
        <f aca="false">IF(A34="","",COUNTIFS(CONG_VIEC!$F$6:$F$305,A34,CONG_VIEC!$P$6:$P$305,"Sắp đến hạn")+COUNTIFS(CONG_VIEC!$F$6:$F$305,A34,CONG_VIEC!$P$6:$P$305,"Đến hạn hôm nay"))</f>
        <v/>
      </c>
      <c r="F34" s="20" t="str">
        <f aca="false">IF(A34="","",COUNTIFS(CONG_VIEC!$F$6:$F$305,A34,CONG_VIEC!$K$6:$K$305,"Hoàn thành"))</f>
        <v/>
      </c>
      <c r="G34" s="20" t="str">
        <f aca="false">IF(A34="","",COUNTIFS(CONG_VIEC!$F$6:$F$305,A34,CONG_VIEC!$P$6:$P$305,"Xong đúng hạn"))</f>
        <v/>
      </c>
      <c r="H34" s="20" t="str">
        <f aca="false">IF(A34="","",COUNTIFS(CONG_VIEC!$F$6:$F$305,A34,CONG_VIEC!$P$6:$P$305,"Xong trễ"))</f>
        <v/>
      </c>
      <c r="I34" s="22" t="str">
        <f aca="false">IF(A34="","",IFERROR(G34/(G34+H34),"-"))</f>
        <v/>
      </c>
      <c r="J34" s="22" t="str">
        <f aca="false">IF(A34="","",IFERROR(F34/B34,"-"))</f>
        <v/>
      </c>
      <c r="K34" s="2"/>
      <c r="L34" s="2"/>
      <c r="M34" s="2"/>
      <c r="N34" s="2"/>
    </row>
    <row r="35" customFormat="false" ht="15" hidden="false" customHeight="false" outlineLevel="0" collapsed="false">
      <c r="A35" s="20" t="str">
        <f aca="false">IF(DANH_MUC!C16="","",DANH_MUC!C16)</f>
        <v/>
      </c>
      <c r="B35" s="20" t="str">
        <f aca="false">IF(A35="","",COUNTIF(CONG_VIEC!$F$6:$F$305,A35))</f>
        <v/>
      </c>
      <c r="C35" s="20" t="str">
        <f aca="false">IF(A35="","",B35-COUNTIFS(CONG_VIEC!$F$6:$F$305,A35,CONG_VIEC!$K$6:$K$305,"Hoàn thành"))</f>
        <v/>
      </c>
      <c r="D35" s="20" t="str">
        <f aca="false">IF(A35="","",COUNTIFS(CONG_VIEC!$F$6:$F$305,A35,CONG_VIEC!$P$6:$P$305,"Quá hạn"))</f>
        <v/>
      </c>
      <c r="E35" s="20" t="str">
        <f aca="false">IF(A35="","",COUNTIFS(CONG_VIEC!$F$6:$F$305,A35,CONG_VIEC!$P$6:$P$305,"Sắp đến hạn")+COUNTIFS(CONG_VIEC!$F$6:$F$305,A35,CONG_VIEC!$P$6:$P$305,"Đến hạn hôm nay"))</f>
        <v/>
      </c>
      <c r="F35" s="20" t="str">
        <f aca="false">IF(A35="","",COUNTIFS(CONG_VIEC!$F$6:$F$305,A35,CONG_VIEC!$K$6:$K$305,"Hoàn thành"))</f>
        <v/>
      </c>
      <c r="G35" s="20" t="str">
        <f aca="false">IF(A35="","",COUNTIFS(CONG_VIEC!$F$6:$F$305,A35,CONG_VIEC!$P$6:$P$305,"Xong đúng hạn"))</f>
        <v/>
      </c>
      <c r="H35" s="20" t="str">
        <f aca="false">IF(A35="","",COUNTIFS(CONG_VIEC!$F$6:$F$305,A35,CONG_VIEC!$P$6:$P$305,"Xong trễ"))</f>
        <v/>
      </c>
      <c r="I35" s="22" t="str">
        <f aca="false">IF(A35="","",IFERROR(G35/(G35+H35),"-"))</f>
        <v/>
      </c>
      <c r="J35" s="22" t="str">
        <f aca="false">IF(A35="","",IFERROR(F35/B35,"-"))</f>
        <v/>
      </c>
      <c r="K35" s="2"/>
      <c r="L35" s="2"/>
      <c r="M35" s="2"/>
      <c r="N35" s="2"/>
    </row>
    <row r="36" customFormat="false" ht="15" hidden="false" customHeight="false" outlineLevel="0" collapsed="false">
      <c r="A36" s="20" t="str">
        <f aca="false">IF(DANH_MUC!C17="","",DANH_MUC!C17)</f>
        <v/>
      </c>
      <c r="B36" s="20" t="str">
        <f aca="false">IF(A36="","",COUNTIF(CONG_VIEC!$F$6:$F$305,A36))</f>
        <v/>
      </c>
      <c r="C36" s="20" t="str">
        <f aca="false">IF(A36="","",B36-COUNTIFS(CONG_VIEC!$F$6:$F$305,A36,CONG_VIEC!$K$6:$K$305,"Hoàn thành"))</f>
        <v/>
      </c>
      <c r="D36" s="20" t="str">
        <f aca="false">IF(A36="","",COUNTIFS(CONG_VIEC!$F$6:$F$305,A36,CONG_VIEC!$P$6:$P$305,"Quá hạn"))</f>
        <v/>
      </c>
      <c r="E36" s="20" t="str">
        <f aca="false">IF(A36="","",COUNTIFS(CONG_VIEC!$F$6:$F$305,A36,CONG_VIEC!$P$6:$P$305,"Sắp đến hạn")+COUNTIFS(CONG_VIEC!$F$6:$F$305,A36,CONG_VIEC!$P$6:$P$305,"Đến hạn hôm nay"))</f>
        <v/>
      </c>
      <c r="F36" s="20" t="str">
        <f aca="false">IF(A36="","",COUNTIFS(CONG_VIEC!$F$6:$F$305,A36,CONG_VIEC!$K$6:$K$305,"Hoàn thành"))</f>
        <v/>
      </c>
      <c r="G36" s="20" t="str">
        <f aca="false">IF(A36="","",COUNTIFS(CONG_VIEC!$F$6:$F$305,A36,CONG_VIEC!$P$6:$P$305,"Xong đúng hạn"))</f>
        <v/>
      </c>
      <c r="H36" s="20" t="str">
        <f aca="false">IF(A36="","",COUNTIFS(CONG_VIEC!$F$6:$F$305,A36,CONG_VIEC!$P$6:$P$305,"Xong trễ"))</f>
        <v/>
      </c>
      <c r="I36" s="22" t="str">
        <f aca="false">IF(A36="","",IFERROR(G36/(G36+H36),"-"))</f>
        <v/>
      </c>
      <c r="J36" s="22" t="str">
        <f aca="false">IF(A36="","",IFERROR(F36/B36,"-"))</f>
        <v/>
      </c>
      <c r="K36" s="2"/>
      <c r="L36" s="2"/>
      <c r="M36" s="2"/>
      <c r="N36" s="2"/>
    </row>
    <row r="37" customFormat="false" ht="15" hidden="false" customHeight="false" outlineLevel="0" collapsed="false">
      <c r="A37" s="20" t="str">
        <f aca="false">IF(DANH_MUC!C18="","",DANH_MUC!C18)</f>
        <v/>
      </c>
      <c r="B37" s="20" t="str">
        <f aca="false">IF(A37="","",COUNTIF(CONG_VIEC!$F$6:$F$305,A37))</f>
        <v/>
      </c>
      <c r="C37" s="20" t="str">
        <f aca="false">IF(A37="","",B37-COUNTIFS(CONG_VIEC!$F$6:$F$305,A37,CONG_VIEC!$K$6:$K$305,"Hoàn thành"))</f>
        <v/>
      </c>
      <c r="D37" s="20" t="str">
        <f aca="false">IF(A37="","",COUNTIFS(CONG_VIEC!$F$6:$F$305,A37,CONG_VIEC!$P$6:$P$305,"Quá hạn"))</f>
        <v/>
      </c>
      <c r="E37" s="20" t="str">
        <f aca="false">IF(A37="","",COUNTIFS(CONG_VIEC!$F$6:$F$305,A37,CONG_VIEC!$P$6:$P$305,"Sắp đến hạn")+COUNTIFS(CONG_VIEC!$F$6:$F$305,A37,CONG_VIEC!$P$6:$P$305,"Đến hạn hôm nay"))</f>
        <v/>
      </c>
      <c r="F37" s="20" t="str">
        <f aca="false">IF(A37="","",COUNTIFS(CONG_VIEC!$F$6:$F$305,A37,CONG_VIEC!$K$6:$K$305,"Hoàn thành"))</f>
        <v/>
      </c>
      <c r="G37" s="20" t="str">
        <f aca="false">IF(A37="","",COUNTIFS(CONG_VIEC!$F$6:$F$305,A37,CONG_VIEC!$P$6:$P$305,"Xong đúng hạn"))</f>
        <v/>
      </c>
      <c r="H37" s="20" t="str">
        <f aca="false">IF(A37="","",COUNTIFS(CONG_VIEC!$F$6:$F$305,A37,CONG_VIEC!$P$6:$P$305,"Xong trễ"))</f>
        <v/>
      </c>
      <c r="I37" s="22" t="str">
        <f aca="false">IF(A37="","",IFERROR(G37/(G37+H37),"-"))</f>
        <v/>
      </c>
      <c r="J37" s="22" t="str">
        <f aca="false">IF(A37="","",IFERROR(F37/B37,"-"))</f>
        <v/>
      </c>
      <c r="K37" s="2"/>
      <c r="L37" s="2"/>
      <c r="M37" s="2"/>
      <c r="N37" s="2"/>
    </row>
    <row r="38" customFormat="false" ht="15" hidden="false" customHeight="false" outlineLevel="0" collapsed="false">
      <c r="A38" s="20" t="str">
        <f aca="false">IF(DANH_MUC!C19="","",DANH_MUC!C19)</f>
        <v/>
      </c>
      <c r="B38" s="20" t="str">
        <f aca="false">IF(A38="","",COUNTIF(CONG_VIEC!$F$6:$F$305,A38))</f>
        <v/>
      </c>
      <c r="C38" s="20" t="str">
        <f aca="false">IF(A38="","",B38-COUNTIFS(CONG_VIEC!$F$6:$F$305,A38,CONG_VIEC!$K$6:$K$305,"Hoàn thành"))</f>
        <v/>
      </c>
      <c r="D38" s="20" t="str">
        <f aca="false">IF(A38="","",COUNTIFS(CONG_VIEC!$F$6:$F$305,A38,CONG_VIEC!$P$6:$P$305,"Quá hạn"))</f>
        <v/>
      </c>
      <c r="E38" s="20" t="str">
        <f aca="false">IF(A38="","",COUNTIFS(CONG_VIEC!$F$6:$F$305,A38,CONG_VIEC!$P$6:$P$305,"Sắp đến hạn")+COUNTIFS(CONG_VIEC!$F$6:$F$305,A38,CONG_VIEC!$P$6:$P$305,"Đến hạn hôm nay"))</f>
        <v/>
      </c>
      <c r="F38" s="20" t="str">
        <f aca="false">IF(A38="","",COUNTIFS(CONG_VIEC!$F$6:$F$305,A38,CONG_VIEC!$K$6:$K$305,"Hoàn thành"))</f>
        <v/>
      </c>
      <c r="G38" s="20" t="str">
        <f aca="false">IF(A38="","",COUNTIFS(CONG_VIEC!$F$6:$F$305,A38,CONG_VIEC!$P$6:$P$305,"Xong đúng hạn"))</f>
        <v/>
      </c>
      <c r="H38" s="20" t="str">
        <f aca="false">IF(A38="","",COUNTIFS(CONG_VIEC!$F$6:$F$305,A38,CONG_VIEC!$P$6:$P$305,"Xong trễ"))</f>
        <v/>
      </c>
      <c r="I38" s="22" t="str">
        <f aca="false">IF(A38="","",IFERROR(G38/(G38+H38),"-"))</f>
        <v/>
      </c>
      <c r="J38" s="22" t="str">
        <f aca="false">IF(A38="","",IFERROR(F38/B38,"-"))</f>
        <v/>
      </c>
      <c r="K38" s="2"/>
      <c r="L38" s="2"/>
      <c r="M38" s="2"/>
      <c r="N38" s="2"/>
    </row>
    <row r="39" customFormat="false" ht="15" hidden="false" customHeight="false" outlineLevel="0" collapsed="false">
      <c r="A39" s="20" t="str">
        <f aca="false">IF(DANH_MUC!C20="","",DANH_MUC!C20)</f>
        <v/>
      </c>
      <c r="B39" s="20" t="str">
        <f aca="false">IF(A39="","",COUNTIF(CONG_VIEC!$F$6:$F$305,A39))</f>
        <v/>
      </c>
      <c r="C39" s="20" t="str">
        <f aca="false">IF(A39="","",B39-COUNTIFS(CONG_VIEC!$F$6:$F$305,A39,CONG_VIEC!$K$6:$K$305,"Hoàn thành"))</f>
        <v/>
      </c>
      <c r="D39" s="20" t="str">
        <f aca="false">IF(A39="","",COUNTIFS(CONG_VIEC!$F$6:$F$305,A39,CONG_VIEC!$P$6:$P$305,"Quá hạn"))</f>
        <v/>
      </c>
      <c r="E39" s="20" t="str">
        <f aca="false">IF(A39="","",COUNTIFS(CONG_VIEC!$F$6:$F$305,A39,CONG_VIEC!$P$6:$P$305,"Sắp đến hạn")+COUNTIFS(CONG_VIEC!$F$6:$F$305,A39,CONG_VIEC!$P$6:$P$305,"Đến hạn hôm nay"))</f>
        <v/>
      </c>
      <c r="F39" s="20" t="str">
        <f aca="false">IF(A39="","",COUNTIFS(CONG_VIEC!$F$6:$F$305,A39,CONG_VIEC!$K$6:$K$305,"Hoàn thành"))</f>
        <v/>
      </c>
      <c r="G39" s="20" t="str">
        <f aca="false">IF(A39="","",COUNTIFS(CONG_VIEC!$F$6:$F$305,A39,CONG_VIEC!$P$6:$P$305,"Xong đúng hạn"))</f>
        <v/>
      </c>
      <c r="H39" s="20" t="str">
        <f aca="false">IF(A39="","",COUNTIFS(CONG_VIEC!$F$6:$F$305,A39,CONG_VIEC!$P$6:$P$305,"Xong trễ"))</f>
        <v/>
      </c>
      <c r="I39" s="22" t="str">
        <f aca="false">IF(A39="","",IFERROR(G39/(G39+H39),"-"))</f>
        <v/>
      </c>
      <c r="J39" s="22" t="str">
        <f aca="false">IF(A39="","",IFERROR(F39/B39,"-"))</f>
        <v/>
      </c>
      <c r="K39" s="2"/>
      <c r="L39" s="2"/>
      <c r="M39" s="2"/>
      <c r="N39" s="2"/>
    </row>
    <row r="40" customFormat="false" ht="15" hidden="false" customHeight="false" outlineLevel="0" collapsed="false">
      <c r="A40" s="20" t="str">
        <f aca="false">IF(DANH_MUC!C21="","",DANH_MUC!C21)</f>
        <v/>
      </c>
      <c r="B40" s="20" t="str">
        <f aca="false">IF(A40="","",COUNTIF(CONG_VIEC!$F$6:$F$305,A40))</f>
        <v/>
      </c>
      <c r="C40" s="20" t="str">
        <f aca="false">IF(A40="","",B40-COUNTIFS(CONG_VIEC!$F$6:$F$305,A40,CONG_VIEC!$K$6:$K$305,"Hoàn thành"))</f>
        <v/>
      </c>
      <c r="D40" s="20" t="str">
        <f aca="false">IF(A40="","",COUNTIFS(CONG_VIEC!$F$6:$F$305,A40,CONG_VIEC!$P$6:$P$305,"Quá hạn"))</f>
        <v/>
      </c>
      <c r="E40" s="20" t="str">
        <f aca="false">IF(A40="","",COUNTIFS(CONG_VIEC!$F$6:$F$305,A40,CONG_VIEC!$P$6:$P$305,"Sắp đến hạn")+COUNTIFS(CONG_VIEC!$F$6:$F$305,A40,CONG_VIEC!$P$6:$P$305,"Đến hạn hôm nay"))</f>
        <v/>
      </c>
      <c r="F40" s="20" t="str">
        <f aca="false">IF(A40="","",COUNTIFS(CONG_VIEC!$F$6:$F$305,A40,CONG_VIEC!$K$6:$K$305,"Hoàn thành"))</f>
        <v/>
      </c>
      <c r="G40" s="20" t="str">
        <f aca="false">IF(A40="","",COUNTIFS(CONG_VIEC!$F$6:$F$305,A40,CONG_VIEC!$P$6:$P$305,"Xong đúng hạn"))</f>
        <v/>
      </c>
      <c r="H40" s="20" t="str">
        <f aca="false">IF(A40="","",COUNTIFS(CONG_VIEC!$F$6:$F$305,A40,CONG_VIEC!$P$6:$P$305,"Xong trễ"))</f>
        <v/>
      </c>
      <c r="I40" s="22" t="str">
        <f aca="false">IF(A40="","",IFERROR(G40/(G40+H40),"-"))</f>
        <v/>
      </c>
      <c r="J40" s="22" t="str">
        <f aca="false">IF(A40="","",IFERROR(F40/B40,"-"))</f>
        <v/>
      </c>
      <c r="K40" s="2"/>
      <c r="L40" s="2"/>
      <c r="M40" s="2"/>
      <c r="N40" s="2"/>
    </row>
    <row r="41" customFormat="false" ht="15" hidden="false" customHeight="false" outlineLevel="0" collapsed="false">
      <c r="A41" s="20" t="str">
        <f aca="false">IF(DANH_MUC!C22="","",DANH_MUC!C22)</f>
        <v/>
      </c>
      <c r="B41" s="20" t="str">
        <f aca="false">IF(A41="","",COUNTIF(CONG_VIEC!$F$6:$F$305,A41))</f>
        <v/>
      </c>
      <c r="C41" s="20" t="str">
        <f aca="false">IF(A41="","",B41-COUNTIFS(CONG_VIEC!$F$6:$F$305,A41,CONG_VIEC!$K$6:$K$305,"Hoàn thành"))</f>
        <v/>
      </c>
      <c r="D41" s="20" t="str">
        <f aca="false">IF(A41="","",COUNTIFS(CONG_VIEC!$F$6:$F$305,A41,CONG_VIEC!$P$6:$P$305,"Quá hạn"))</f>
        <v/>
      </c>
      <c r="E41" s="20" t="str">
        <f aca="false">IF(A41="","",COUNTIFS(CONG_VIEC!$F$6:$F$305,A41,CONG_VIEC!$P$6:$P$305,"Sắp đến hạn")+COUNTIFS(CONG_VIEC!$F$6:$F$305,A41,CONG_VIEC!$P$6:$P$305,"Đến hạn hôm nay"))</f>
        <v/>
      </c>
      <c r="F41" s="20" t="str">
        <f aca="false">IF(A41="","",COUNTIFS(CONG_VIEC!$F$6:$F$305,A41,CONG_VIEC!$K$6:$K$305,"Hoàn thành"))</f>
        <v/>
      </c>
      <c r="G41" s="20" t="str">
        <f aca="false">IF(A41="","",COUNTIFS(CONG_VIEC!$F$6:$F$305,A41,CONG_VIEC!$P$6:$P$305,"Xong đúng hạn"))</f>
        <v/>
      </c>
      <c r="H41" s="20" t="str">
        <f aca="false">IF(A41="","",COUNTIFS(CONG_VIEC!$F$6:$F$305,A41,CONG_VIEC!$P$6:$P$305,"Xong trễ"))</f>
        <v/>
      </c>
      <c r="I41" s="22" t="str">
        <f aca="false">IF(A41="","",IFERROR(G41/(G41+H41),"-"))</f>
        <v/>
      </c>
      <c r="J41" s="22" t="str">
        <f aca="false">IF(A41="","",IFERROR(F41/B41,"-"))</f>
        <v/>
      </c>
      <c r="K41" s="2"/>
      <c r="L41" s="2"/>
      <c r="M41" s="2"/>
      <c r="N41" s="2"/>
    </row>
    <row r="42" customFormat="false" ht="15" hidden="false" customHeight="false" outlineLevel="0" collapsed="false">
      <c r="A42" s="20" t="str">
        <f aca="false">IF(DANH_MUC!C23="","",DANH_MUC!C23)</f>
        <v/>
      </c>
      <c r="B42" s="20" t="str">
        <f aca="false">IF(A42="","",COUNTIF(CONG_VIEC!$F$6:$F$305,A42))</f>
        <v/>
      </c>
      <c r="C42" s="20" t="str">
        <f aca="false">IF(A42="","",B42-COUNTIFS(CONG_VIEC!$F$6:$F$305,A42,CONG_VIEC!$K$6:$K$305,"Hoàn thành"))</f>
        <v/>
      </c>
      <c r="D42" s="20" t="str">
        <f aca="false">IF(A42="","",COUNTIFS(CONG_VIEC!$F$6:$F$305,A42,CONG_VIEC!$P$6:$P$305,"Quá hạn"))</f>
        <v/>
      </c>
      <c r="E42" s="20" t="str">
        <f aca="false">IF(A42="","",COUNTIFS(CONG_VIEC!$F$6:$F$305,A42,CONG_VIEC!$P$6:$P$305,"Sắp đến hạn")+COUNTIFS(CONG_VIEC!$F$6:$F$305,A42,CONG_VIEC!$P$6:$P$305,"Đến hạn hôm nay"))</f>
        <v/>
      </c>
      <c r="F42" s="20" t="str">
        <f aca="false">IF(A42="","",COUNTIFS(CONG_VIEC!$F$6:$F$305,A42,CONG_VIEC!$K$6:$K$305,"Hoàn thành"))</f>
        <v/>
      </c>
      <c r="G42" s="20" t="str">
        <f aca="false">IF(A42="","",COUNTIFS(CONG_VIEC!$F$6:$F$305,A42,CONG_VIEC!$P$6:$P$305,"Xong đúng hạn"))</f>
        <v/>
      </c>
      <c r="H42" s="20" t="str">
        <f aca="false">IF(A42="","",COUNTIFS(CONG_VIEC!$F$6:$F$305,A42,CONG_VIEC!$P$6:$P$305,"Xong trễ"))</f>
        <v/>
      </c>
      <c r="I42" s="22" t="str">
        <f aca="false">IF(A42="","",IFERROR(G42/(G42+H42),"-"))</f>
        <v/>
      </c>
      <c r="J42" s="22" t="str">
        <f aca="false">IF(A42="","",IFERROR(F42/B42,"-"))</f>
        <v/>
      </c>
      <c r="K42" s="2"/>
      <c r="L42" s="2"/>
      <c r="M42" s="2"/>
      <c r="N42" s="2"/>
    </row>
    <row r="43" customFormat="false" ht="15" hidden="false" customHeight="false" outlineLevel="0" collapsed="false">
      <c r="A43" s="20" t="str">
        <f aca="false">IF(DANH_MUC!C24="","",DANH_MUC!C24)</f>
        <v/>
      </c>
      <c r="B43" s="20" t="str">
        <f aca="false">IF(A43="","",COUNTIF(CONG_VIEC!$F$6:$F$305,A43))</f>
        <v/>
      </c>
      <c r="C43" s="20" t="str">
        <f aca="false">IF(A43="","",B43-COUNTIFS(CONG_VIEC!$F$6:$F$305,A43,CONG_VIEC!$K$6:$K$305,"Hoàn thành"))</f>
        <v/>
      </c>
      <c r="D43" s="20" t="str">
        <f aca="false">IF(A43="","",COUNTIFS(CONG_VIEC!$F$6:$F$305,A43,CONG_VIEC!$P$6:$P$305,"Quá hạn"))</f>
        <v/>
      </c>
      <c r="E43" s="20" t="str">
        <f aca="false">IF(A43="","",COUNTIFS(CONG_VIEC!$F$6:$F$305,A43,CONG_VIEC!$P$6:$P$305,"Sắp đến hạn")+COUNTIFS(CONG_VIEC!$F$6:$F$305,A43,CONG_VIEC!$P$6:$P$305,"Đến hạn hôm nay"))</f>
        <v/>
      </c>
      <c r="F43" s="20" t="str">
        <f aca="false">IF(A43="","",COUNTIFS(CONG_VIEC!$F$6:$F$305,A43,CONG_VIEC!$K$6:$K$305,"Hoàn thành"))</f>
        <v/>
      </c>
      <c r="G43" s="20" t="str">
        <f aca="false">IF(A43="","",COUNTIFS(CONG_VIEC!$F$6:$F$305,A43,CONG_VIEC!$P$6:$P$305,"Xong đúng hạn"))</f>
        <v/>
      </c>
      <c r="H43" s="20" t="str">
        <f aca="false">IF(A43="","",COUNTIFS(CONG_VIEC!$F$6:$F$305,A43,CONG_VIEC!$P$6:$P$305,"Xong trễ"))</f>
        <v/>
      </c>
      <c r="I43" s="22" t="str">
        <f aca="false">IF(A43="","",IFERROR(G43/(G43+H43),"-"))</f>
        <v/>
      </c>
      <c r="J43" s="22" t="str">
        <f aca="false">IF(A43="","",IFERROR(F43/B43,"-"))</f>
        <v/>
      </c>
      <c r="K43" s="2"/>
      <c r="L43" s="2"/>
      <c r="M43" s="2"/>
      <c r="N43" s="2"/>
    </row>
  </sheetData>
  <mergeCells count="14"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</mergeCells>
  <conditionalFormatting sqref="D11">
    <cfRule type="cellIs" priority="2" operator="greaterThan" aboveAverage="0" equalAverage="0" bottom="0" percent="0" rank="0" text="" dxfId="17">
      <formula>0</formula>
    </cfRule>
  </conditionalFormatting>
  <conditionalFormatting sqref="D12">
    <cfRule type="cellIs" priority="3" operator="greaterThan" aboveAverage="0" equalAverage="0" bottom="0" percent="0" rank="0" text="" dxfId="17">
      <formula>0</formula>
    </cfRule>
  </conditionalFormatting>
  <conditionalFormatting sqref="D13">
    <cfRule type="cellIs" priority="4" operator="greaterThan" aboveAverage="0" equalAverage="0" bottom="0" percent="0" rank="0" text="" dxfId="17">
      <formula>0</formula>
    </cfRule>
  </conditionalFormatting>
  <conditionalFormatting sqref="D14">
    <cfRule type="cellIs" priority="5" operator="greaterThan" aboveAverage="0" equalAverage="0" bottom="0" percent="0" rank="0" text="" dxfId="17">
      <formula>0</formula>
    </cfRule>
  </conditionalFormatting>
  <conditionalFormatting sqref="D15">
    <cfRule type="cellIs" priority="6" operator="greaterThan" aboveAverage="0" equalAverage="0" bottom="0" percent="0" rank="0" text="" dxfId="17">
      <formula>0</formula>
    </cfRule>
  </conditionalFormatting>
  <conditionalFormatting sqref="D16">
    <cfRule type="cellIs" priority="7" operator="greaterThan" aboveAverage="0" equalAverage="0" bottom="0" percent="0" rank="0" text="" dxfId="17">
      <formula>0</formula>
    </cfRule>
  </conditionalFormatting>
  <conditionalFormatting sqref="D17">
    <cfRule type="cellIs" priority="8" operator="greaterThan" aboveAverage="0" equalAverage="0" bottom="0" percent="0" rank="0" text="" dxfId="17">
      <formula>0</formula>
    </cfRule>
  </conditionalFormatting>
  <conditionalFormatting sqref="D18">
    <cfRule type="cellIs" priority="9" operator="greaterThan" aboveAverage="0" equalAverage="0" bottom="0" percent="0" rank="0" text="" dxfId="17">
      <formula>0</formula>
    </cfRule>
  </conditionalFormatting>
  <conditionalFormatting sqref="D19">
    <cfRule type="cellIs" priority="10" operator="greaterThan" aboveAverage="0" equalAverage="0" bottom="0" percent="0" rank="0" text="" dxfId="17">
      <formula>0</formula>
    </cfRule>
  </conditionalFormatting>
  <conditionalFormatting sqref="D20">
    <cfRule type="cellIs" priority="11" operator="greaterThan" aboveAverage="0" equalAverage="0" bottom="0" percent="0" rank="0" text="" dxfId="17">
      <formula>0</formula>
    </cfRule>
  </conditionalFormatting>
  <conditionalFormatting sqref="D24">
    <cfRule type="cellIs" priority="12" operator="greaterThan" aboveAverage="0" equalAverage="0" bottom="0" percent="0" rank="0" text="" dxfId="17">
      <formula>0</formula>
    </cfRule>
  </conditionalFormatting>
  <conditionalFormatting sqref="D25">
    <cfRule type="cellIs" priority="13" operator="greaterThan" aboveAverage="0" equalAverage="0" bottom="0" percent="0" rank="0" text="" dxfId="17">
      <formula>0</formula>
    </cfRule>
  </conditionalFormatting>
  <conditionalFormatting sqref="D26">
    <cfRule type="cellIs" priority="14" operator="greaterThan" aboveAverage="0" equalAverage="0" bottom="0" percent="0" rank="0" text="" dxfId="17">
      <formula>0</formula>
    </cfRule>
  </conditionalFormatting>
  <conditionalFormatting sqref="D27">
    <cfRule type="cellIs" priority="15" operator="greaterThan" aboveAverage="0" equalAverage="0" bottom="0" percent="0" rank="0" text="" dxfId="17">
      <formula>0</formula>
    </cfRule>
  </conditionalFormatting>
  <conditionalFormatting sqref="D28">
    <cfRule type="cellIs" priority="16" operator="greaterThan" aboveAverage="0" equalAverage="0" bottom="0" percent="0" rank="0" text="" dxfId="17">
      <formula>0</formula>
    </cfRule>
  </conditionalFormatting>
  <conditionalFormatting sqref="D29">
    <cfRule type="cellIs" priority="17" operator="greaterThan" aboveAverage="0" equalAverage="0" bottom="0" percent="0" rank="0" text="" dxfId="17">
      <formula>0</formula>
    </cfRule>
  </conditionalFormatting>
  <conditionalFormatting sqref="D30">
    <cfRule type="cellIs" priority="18" operator="greaterThan" aboveAverage="0" equalAverage="0" bottom="0" percent="0" rank="0" text="" dxfId="17">
      <formula>0</formula>
    </cfRule>
  </conditionalFormatting>
  <conditionalFormatting sqref="D31">
    <cfRule type="cellIs" priority="19" operator="greaterThan" aboveAverage="0" equalAverage="0" bottom="0" percent="0" rank="0" text="" dxfId="17">
      <formula>0</formula>
    </cfRule>
  </conditionalFormatting>
  <conditionalFormatting sqref="D32">
    <cfRule type="cellIs" priority="20" operator="greaterThan" aboveAverage="0" equalAverage="0" bottom="0" percent="0" rank="0" text="" dxfId="17">
      <formula>0</formula>
    </cfRule>
  </conditionalFormatting>
  <conditionalFormatting sqref="D33">
    <cfRule type="cellIs" priority="21" operator="greaterThan" aboveAverage="0" equalAverage="0" bottom="0" percent="0" rank="0" text="" dxfId="17">
      <formula>0</formula>
    </cfRule>
  </conditionalFormatting>
  <conditionalFormatting sqref="D34">
    <cfRule type="cellIs" priority="22" operator="greaterThan" aboveAverage="0" equalAverage="0" bottom="0" percent="0" rank="0" text="" dxfId="17">
      <formula>0</formula>
    </cfRule>
  </conditionalFormatting>
  <conditionalFormatting sqref="D35">
    <cfRule type="cellIs" priority="23" operator="greaterThan" aboveAverage="0" equalAverage="0" bottom="0" percent="0" rank="0" text="" dxfId="17">
      <formula>0</formula>
    </cfRule>
  </conditionalFormatting>
  <conditionalFormatting sqref="D36">
    <cfRule type="cellIs" priority="24" operator="greaterThan" aboveAverage="0" equalAverage="0" bottom="0" percent="0" rank="0" text="" dxfId="17">
      <formula>0</formula>
    </cfRule>
  </conditionalFormatting>
  <conditionalFormatting sqref="D37">
    <cfRule type="cellIs" priority="25" operator="greaterThan" aboveAverage="0" equalAverage="0" bottom="0" percent="0" rank="0" text="" dxfId="17">
      <formula>0</formula>
    </cfRule>
  </conditionalFormatting>
  <conditionalFormatting sqref="D38">
    <cfRule type="cellIs" priority="26" operator="greaterThan" aboveAverage="0" equalAverage="0" bottom="0" percent="0" rank="0" text="" dxfId="17">
      <formula>0</formula>
    </cfRule>
  </conditionalFormatting>
  <conditionalFormatting sqref="D39">
    <cfRule type="cellIs" priority="27" operator="greaterThan" aboveAverage="0" equalAverage="0" bottom="0" percent="0" rank="0" text="" dxfId="17">
      <formula>0</formula>
    </cfRule>
  </conditionalFormatting>
  <conditionalFormatting sqref="D40">
    <cfRule type="cellIs" priority="28" operator="greaterThan" aboveAverage="0" equalAverage="0" bottom="0" percent="0" rank="0" text="" dxfId="17">
      <formula>0</formula>
    </cfRule>
  </conditionalFormatting>
  <conditionalFormatting sqref="D41">
    <cfRule type="cellIs" priority="29" operator="greaterThan" aboveAverage="0" equalAverage="0" bottom="0" percent="0" rank="0" text="" dxfId="17">
      <formula>0</formula>
    </cfRule>
  </conditionalFormatting>
  <conditionalFormatting sqref="D42">
    <cfRule type="cellIs" priority="30" operator="greaterThan" aboveAverage="0" equalAverage="0" bottom="0" percent="0" rank="0" text="" dxfId="17">
      <formula>0</formula>
    </cfRule>
  </conditionalFormatting>
  <conditionalFormatting sqref="D43">
    <cfRule type="cellIs" priority="31" operator="greaterThan" aboveAverage="0" equalAverage="0" bottom="0" percent="0" rank="0" text="" dxfId="1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45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66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3" t="s">
        <v>67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3" t="s">
        <v>68</v>
      </c>
      <c r="B3" s="14" t="n">
        <f aca="true">TODAY()</f>
        <v>46288</v>
      </c>
      <c r="C3" s="2"/>
      <c r="D3" s="23" t="s">
        <v>69</v>
      </c>
      <c r="E3" s="2" t="n">
        <f aca="false">COUNT(CONG_VIEC!$S$6:$S$305)</f>
        <v>2</v>
      </c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8" t="s">
        <v>70</v>
      </c>
      <c r="B5" s="6" t="s">
        <v>71</v>
      </c>
      <c r="C5" s="6" t="s">
        <v>6</v>
      </c>
      <c r="D5" s="6" t="s">
        <v>7</v>
      </c>
      <c r="E5" s="6" t="s">
        <v>9</v>
      </c>
      <c r="F5" s="6" t="s">
        <v>72</v>
      </c>
      <c r="G5" s="6" t="s">
        <v>73</v>
      </c>
      <c r="H5" s="6" t="s">
        <v>14</v>
      </c>
      <c r="I5" s="6" t="s">
        <v>19</v>
      </c>
    </row>
    <row r="6" customFormat="false" ht="15" hidden="false" customHeight="false" outlineLevel="0" collapsed="false">
      <c r="A6" s="24" t="n">
        <v>1</v>
      </c>
      <c r="B6" s="20" t="str">
        <f aca="false">IFERROR(INDEX(CONG_VIEC!$A$6:$A$305,MATCH(A6,CONG_VIEC!$S$6:$S$305,0))&amp;"","")</f>
        <v>CV001</v>
      </c>
      <c r="C6" s="25" t="str">
        <f aca="false">IFERROR(INDEX(CONG_VIEC!$C$6:$C$305,MATCH(A6,CONG_VIEC!$S$6:$S$305,0))&amp;"","")</f>
        <v>[VÍ DỤ] Thu gom rác tồn đọng tuyến phố chính</v>
      </c>
      <c r="D6" s="20" t="str">
        <f aca="false">IFERROR(INDEX(CONG_VIEC!$D$6:$D$305,MATCH(A6,CONG_VIEC!$S$6:$S$305,0))&amp;"","")</f>
        <v>Đơn vị 1 (sửa tên)</v>
      </c>
      <c r="E6" s="20" t="str">
        <f aca="false">IFERROR(INDEX(CONG_VIEC!$F$6:$F$305,MATCH(A6,CONG_VIEC!$S$6:$S$305,0))&amp;"","")</f>
        <v>Người 1 (sửa tên)</v>
      </c>
      <c r="F6" s="26" t="n">
        <f aca="false">IFERROR(INDEX(CONG_VIEC!$J$6:$J$305,MATCH(A6,CONG_VIEC!$S$6:$S$305,0)),"")</f>
        <v>46286</v>
      </c>
      <c r="G6" s="20" t="n">
        <f aca="false">IFERROR(INDEX(CONG_VIEC!$O$6:$O$305,MATCH(A6,CONG_VIEC!$S$6:$S$305,0)),"")</f>
        <v>-2</v>
      </c>
      <c r="H6" s="20" t="str">
        <f aca="false">IFERROR(INDEX(CONG_VIEC!$K$6:$K$305,MATCH(A6,CONG_VIEC!$S$6:$S$305,0))&amp;"","")</f>
        <v>Đang làm</v>
      </c>
      <c r="I6" s="21" t="str">
        <f aca="false">IFERROR(INDEX(CONG_VIEC!$P$6:$P$305,MATCH(A6,CONG_VIEC!$S$6:$S$305,0))&amp;"","")</f>
        <v>Quá hạn</v>
      </c>
    </row>
    <row r="7" customFormat="false" ht="15" hidden="false" customHeight="false" outlineLevel="0" collapsed="false">
      <c r="A7" s="24" t="n">
        <v>2</v>
      </c>
      <c r="B7" s="20" t="str">
        <f aca="false">IFERROR(INDEX(CONG_VIEC!$A$6:$A$305,MATCH(A7,CONG_VIEC!$S$6:$S$305,0))&amp;"","")</f>
        <v>CV002</v>
      </c>
      <c r="C7" s="25" t="str">
        <f aca="false">IFERROR(INDEX(CONG_VIEC!$C$6:$C$305,MATCH(A7,CONG_VIEC!$S$6:$S$305,0))&amp;"","")</f>
        <v>[VÍ DỤ] Báo cáo tiến độ vệ sinh môi trường tháng 9</v>
      </c>
      <c r="D7" s="20" t="str">
        <f aca="false">IFERROR(INDEX(CONG_VIEC!$D$6:$D$305,MATCH(A7,CONG_VIEC!$S$6:$S$305,0))&amp;"","")</f>
        <v>Đơn vị 2 (sửa tên)</v>
      </c>
      <c r="E7" s="20" t="str">
        <f aca="false">IFERROR(INDEX(CONG_VIEC!$F$6:$F$305,MATCH(A7,CONG_VIEC!$S$6:$S$305,0))&amp;"","")</f>
        <v>Người 2 (sửa tên)</v>
      </c>
      <c r="F7" s="26" t="n">
        <f aca="false">IFERROR(INDEX(CONG_VIEC!$J$6:$J$305,MATCH(A7,CONG_VIEC!$S$6:$S$305,0)),"")</f>
        <v>46288</v>
      </c>
      <c r="G7" s="20" t="n">
        <f aca="false">IFERROR(INDEX(CONG_VIEC!$O$6:$O$305,MATCH(A7,CONG_VIEC!$S$6:$S$305,0)),"")</f>
        <v>0</v>
      </c>
      <c r="H7" s="20" t="str">
        <f aca="false">IFERROR(INDEX(CONG_VIEC!$K$6:$K$305,MATCH(A7,CONG_VIEC!$S$6:$S$305,0))&amp;"","")</f>
        <v>Chưa làm</v>
      </c>
      <c r="I7" s="21" t="str">
        <f aca="false">IFERROR(INDEX(CONG_VIEC!$P$6:$P$305,MATCH(A7,CONG_VIEC!$S$6:$S$305,0))&amp;"","")</f>
        <v>Đến hạn hôm nay</v>
      </c>
    </row>
    <row r="8" customFormat="false" ht="15" hidden="false" customHeight="false" outlineLevel="0" collapsed="false">
      <c r="A8" s="24" t="n">
        <v>3</v>
      </c>
      <c r="B8" s="20" t="str">
        <f aca="false">IFERROR(INDEX(CONG_VIEC!$A$6:$A$305,MATCH(A8,CONG_VIEC!$S$6:$S$305,0))&amp;"","")</f>
        <v/>
      </c>
      <c r="C8" s="25" t="str">
        <f aca="false">IFERROR(INDEX(CONG_VIEC!$C$6:$C$305,MATCH(A8,CONG_VIEC!$S$6:$S$305,0))&amp;"","")</f>
        <v/>
      </c>
      <c r="D8" s="20" t="str">
        <f aca="false">IFERROR(INDEX(CONG_VIEC!$D$6:$D$305,MATCH(A8,CONG_VIEC!$S$6:$S$305,0))&amp;"","")</f>
        <v/>
      </c>
      <c r="E8" s="20" t="str">
        <f aca="false">IFERROR(INDEX(CONG_VIEC!$F$6:$F$305,MATCH(A8,CONG_VIEC!$S$6:$S$305,0))&amp;"","")</f>
        <v/>
      </c>
      <c r="F8" s="26" t="str">
        <f aca="false">IFERROR(INDEX(CONG_VIEC!$J$6:$J$305,MATCH(A8,CONG_VIEC!$S$6:$S$305,0)),"")</f>
        <v/>
      </c>
      <c r="G8" s="20" t="str">
        <f aca="false">IFERROR(INDEX(CONG_VIEC!$O$6:$O$305,MATCH(A8,CONG_VIEC!$S$6:$S$305,0)),"")</f>
        <v/>
      </c>
      <c r="H8" s="20" t="str">
        <f aca="false">IFERROR(INDEX(CONG_VIEC!$K$6:$K$305,MATCH(A8,CONG_VIEC!$S$6:$S$305,0))&amp;"","")</f>
        <v/>
      </c>
      <c r="I8" s="21" t="str">
        <f aca="false">IFERROR(INDEX(CONG_VIEC!$P$6:$P$305,MATCH(A8,CONG_VIEC!$S$6:$S$305,0))&amp;"","")</f>
        <v/>
      </c>
    </row>
    <row r="9" customFormat="false" ht="15" hidden="false" customHeight="false" outlineLevel="0" collapsed="false">
      <c r="A9" s="24" t="n">
        <v>4</v>
      </c>
      <c r="B9" s="20" t="str">
        <f aca="false">IFERROR(INDEX(CONG_VIEC!$A$6:$A$305,MATCH(A9,CONG_VIEC!$S$6:$S$305,0))&amp;"","")</f>
        <v/>
      </c>
      <c r="C9" s="25" t="str">
        <f aca="false">IFERROR(INDEX(CONG_VIEC!$C$6:$C$305,MATCH(A9,CONG_VIEC!$S$6:$S$305,0))&amp;"","")</f>
        <v/>
      </c>
      <c r="D9" s="20" t="str">
        <f aca="false">IFERROR(INDEX(CONG_VIEC!$D$6:$D$305,MATCH(A9,CONG_VIEC!$S$6:$S$305,0))&amp;"","")</f>
        <v/>
      </c>
      <c r="E9" s="20" t="str">
        <f aca="false">IFERROR(INDEX(CONG_VIEC!$F$6:$F$305,MATCH(A9,CONG_VIEC!$S$6:$S$305,0))&amp;"","")</f>
        <v/>
      </c>
      <c r="F9" s="26" t="str">
        <f aca="false">IFERROR(INDEX(CONG_VIEC!$J$6:$J$305,MATCH(A9,CONG_VIEC!$S$6:$S$305,0)),"")</f>
        <v/>
      </c>
      <c r="G9" s="20" t="str">
        <f aca="false">IFERROR(INDEX(CONG_VIEC!$O$6:$O$305,MATCH(A9,CONG_VIEC!$S$6:$S$305,0)),"")</f>
        <v/>
      </c>
      <c r="H9" s="20" t="str">
        <f aca="false">IFERROR(INDEX(CONG_VIEC!$K$6:$K$305,MATCH(A9,CONG_VIEC!$S$6:$S$305,0))&amp;"","")</f>
        <v/>
      </c>
      <c r="I9" s="21" t="str">
        <f aca="false">IFERROR(INDEX(CONG_VIEC!$P$6:$P$305,MATCH(A9,CONG_VIEC!$S$6:$S$305,0))&amp;"","")</f>
        <v/>
      </c>
    </row>
    <row r="10" customFormat="false" ht="15" hidden="false" customHeight="false" outlineLevel="0" collapsed="false">
      <c r="A10" s="24" t="n">
        <v>5</v>
      </c>
      <c r="B10" s="20" t="str">
        <f aca="false">IFERROR(INDEX(CONG_VIEC!$A$6:$A$305,MATCH(A10,CONG_VIEC!$S$6:$S$305,0))&amp;"","")</f>
        <v/>
      </c>
      <c r="C10" s="25" t="str">
        <f aca="false">IFERROR(INDEX(CONG_VIEC!$C$6:$C$305,MATCH(A10,CONG_VIEC!$S$6:$S$305,0))&amp;"","")</f>
        <v/>
      </c>
      <c r="D10" s="20" t="str">
        <f aca="false">IFERROR(INDEX(CONG_VIEC!$D$6:$D$305,MATCH(A10,CONG_VIEC!$S$6:$S$305,0))&amp;"","")</f>
        <v/>
      </c>
      <c r="E10" s="20" t="str">
        <f aca="false">IFERROR(INDEX(CONG_VIEC!$F$6:$F$305,MATCH(A10,CONG_VIEC!$S$6:$S$305,0))&amp;"","")</f>
        <v/>
      </c>
      <c r="F10" s="26" t="str">
        <f aca="false">IFERROR(INDEX(CONG_VIEC!$J$6:$J$305,MATCH(A10,CONG_VIEC!$S$6:$S$305,0)),"")</f>
        <v/>
      </c>
      <c r="G10" s="20" t="str">
        <f aca="false">IFERROR(INDEX(CONG_VIEC!$O$6:$O$305,MATCH(A10,CONG_VIEC!$S$6:$S$305,0)),"")</f>
        <v/>
      </c>
      <c r="H10" s="20" t="str">
        <f aca="false">IFERROR(INDEX(CONG_VIEC!$K$6:$K$305,MATCH(A10,CONG_VIEC!$S$6:$S$305,0))&amp;"","")</f>
        <v/>
      </c>
      <c r="I10" s="21" t="str">
        <f aca="false">IFERROR(INDEX(CONG_VIEC!$P$6:$P$305,MATCH(A10,CONG_VIEC!$S$6:$S$305,0))&amp;"","")</f>
        <v/>
      </c>
    </row>
    <row r="11" customFormat="false" ht="15" hidden="false" customHeight="false" outlineLevel="0" collapsed="false">
      <c r="A11" s="24" t="n">
        <v>6</v>
      </c>
      <c r="B11" s="20" t="str">
        <f aca="false">IFERROR(INDEX(CONG_VIEC!$A$6:$A$305,MATCH(A11,CONG_VIEC!$S$6:$S$305,0))&amp;"","")</f>
        <v/>
      </c>
      <c r="C11" s="25" t="str">
        <f aca="false">IFERROR(INDEX(CONG_VIEC!$C$6:$C$305,MATCH(A11,CONG_VIEC!$S$6:$S$305,0))&amp;"","")</f>
        <v/>
      </c>
      <c r="D11" s="20" t="str">
        <f aca="false">IFERROR(INDEX(CONG_VIEC!$D$6:$D$305,MATCH(A11,CONG_VIEC!$S$6:$S$305,0))&amp;"","")</f>
        <v/>
      </c>
      <c r="E11" s="20" t="str">
        <f aca="false">IFERROR(INDEX(CONG_VIEC!$F$6:$F$305,MATCH(A11,CONG_VIEC!$S$6:$S$305,0))&amp;"","")</f>
        <v/>
      </c>
      <c r="F11" s="26" t="str">
        <f aca="false">IFERROR(INDEX(CONG_VIEC!$J$6:$J$305,MATCH(A11,CONG_VIEC!$S$6:$S$305,0)),"")</f>
        <v/>
      </c>
      <c r="G11" s="20" t="str">
        <f aca="false">IFERROR(INDEX(CONG_VIEC!$O$6:$O$305,MATCH(A11,CONG_VIEC!$S$6:$S$305,0)),"")</f>
        <v/>
      </c>
      <c r="H11" s="20" t="str">
        <f aca="false">IFERROR(INDEX(CONG_VIEC!$K$6:$K$305,MATCH(A11,CONG_VIEC!$S$6:$S$305,0))&amp;"","")</f>
        <v/>
      </c>
      <c r="I11" s="21" t="str">
        <f aca="false">IFERROR(INDEX(CONG_VIEC!$P$6:$P$305,MATCH(A11,CONG_VIEC!$S$6:$S$305,0))&amp;"","")</f>
        <v/>
      </c>
    </row>
    <row r="12" customFormat="false" ht="15" hidden="false" customHeight="false" outlineLevel="0" collapsed="false">
      <c r="A12" s="24" t="n">
        <v>7</v>
      </c>
      <c r="B12" s="20" t="str">
        <f aca="false">IFERROR(INDEX(CONG_VIEC!$A$6:$A$305,MATCH(A12,CONG_VIEC!$S$6:$S$305,0))&amp;"","")</f>
        <v/>
      </c>
      <c r="C12" s="25" t="str">
        <f aca="false">IFERROR(INDEX(CONG_VIEC!$C$6:$C$305,MATCH(A12,CONG_VIEC!$S$6:$S$305,0))&amp;"","")</f>
        <v/>
      </c>
      <c r="D12" s="20" t="str">
        <f aca="false">IFERROR(INDEX(CONG_VIEC!$D$6:$D$305,MATCH(A12,CONG_VIEC!$S$6:$S$305,0))&amp;"","")</f>
        <v/>
      </c>
      <c r="E12" s="20" t="str">
        <f aca="false">IFERROR(INDEX(CONG_VIEC!$F$6:$F$305,MATCH(A12,CONG_VIEC!$S$6:$S$305,0))&amp;"","")</f>
        <v/>
      </c>
      <c r="F12" s="26" t="str">
        <f aca="false">IFERROR(INDEX(CONG_VIEC!$J$6:$J$305,MATCH(A12,CONG_VIEC!$S$6:$S$305,0)),"")</f>
        <v/>
      </c>
      <c r="G12" s="20" t="str">
        <f aca="false">IFERROR(INDEX(CONG_VIEC!$O$6:$O$305,MATCH(A12,CONG_VIEC!$S$6:$S$305,0)),"")</f>
        <v/>
      </c>
      <c r="H12" s="20" t="str">
        <f aca="false">IFERROR(INDEX(CONG_VIEC!$K$6:$K$305,MATCH(A12,CONG_VIEC!$S$6:$S$305,0))&amp;"","")</f>
        <v/>
      </c>
      <c r="I12" s="21" t="str">
        <f aca="false">IFERROR(INDEX(CONG_VIEC!$P$6:$P$305,MATCH(A12,CONG_VIEC!$S$6:$S$305,0))&amp;"","")</f>
        <v/>
      </c>
    </row>
    <row r="13" customFormat="false" ht="15" hidden="false" customHeight="false" outlineLevel="0" collapsed="false">
      <c r="A13" s="24" t="n">
        <v>8</v>
      </c>
      <c r="B13" s="20" t="str">
        <f aca="false">IFERROR(INDEX(CONG_VIEC!$A$6:$A$305,MATCH(A13,CONG_VIEC!$S$6:$S$305,0))&amp;"","")</f>
        <v/>
      </c>
      <c r="C13" s="25" t="str">
        <f aca="false">IFERROR(INDEX(CONG_VIEC!$C$6:$C$305,MATCH(A13,CONG_VIEC!$S$6:$S$305,0))&amp;"","")</f>
        <v/>
      </c>
      <c r="D13" s="20" t="str">
        <f aca="false">IFERROR(INDEX(CONG_VIEC!$D$6:$D$305,MATCH(A13,CONG_VIEC!$S$6:$S$305,0))&amp;"","")</f>
        <v/>
      </c>
      <c r="E13" s="20" t="str">
        <f aca="false">IFERROR(INDEX(CONG_VIEC!$F$6:$F$305,MATCH(A13,CONG_VIEC!$S$6:$S$305,0))&amp;"","")</f>
        <v/>
      </c>
      <c r="F13" s="26" t="str">
        <f aca="false">IFERROR(INDEX(CONG_VIEC!$J$6:$J$305,MATCH(A13,CONG_VIEC!$S$6:$S$305,0)),"")</f>
        <v/>
      </c>
      <c r="G13" s="20" t="str">
        <f aca="false">IFERROR(INDEX(CONG_VIEC!$O$6:$O$305,MATCH(A13,CONG_VIEC!$S$6:$S$305,0)),"")</f>
        <v/>
      </c>
      <c r="H13" s="20" t="str">
        <f aca="false">IFERROR(INDEX(CONG_VIEC!$K$6:$K$305,MATCH(A13,CONG_VIEC!$S$6:$S$305,0))&amp;"","")</f>
        <v/>
      </c>
      <c r="I13" s="21" t="str">
        <f aca="false">IFERROR(INDEX(CONG_VIEC!$P$6:$P$305,MATCH(A13,CONG_VIEC!$S$6:$S$305,0))&amp;"","")</f>
        <v/>
      </c>
    </row>
    <row r="14" customFormat="false" ht="15" hidden="false" customHeight="false" outlineLevel="0" collapsed="false">
      <c r="A14" s="24" t="n">
        <v>9</v>
      </c>
      <c r="B14" s="20" t="str">
        <f aca="false">IFERROR(INDEX(CONG_VIEC!$A$6:$A$305,MATCH(A14,CONG_VIEC!$S$6:$S$305,0))&amp;"","")</f>
        <v/>
      </c>
      <c r="C14" s="25" t="str">
        <f aca="false">IFERROR(INDEX(CONG_VIEC!$C$6:$C$305,MATCH(A14,CONG_VIEC!$S$6:$S$305,0))&amp;"","")</f>
        <v/>
      </c>
      <c r="D14" s="20" t="str">
        <f aca="false">IFERROR(INDEX(CONG_VIEC!$D$6:$D$305,MATCH(A14,CONG_VIEC!$S$6:$S$305,0))&amp;"","")</f>
        <v/>
      </c>
      <c r="E14" s="20" t="str">
        <f aca="false">IFERROR(INDEX(CONG_VIEC!$F$6:$F$305,MATCH(A14,CONG_VIEC!$S$6:$S$305,0))&amp;"","")</f>
        <v/>
      </c>
      <c r="F14" s="26" t="str">
        <f aca="false">IFERROR(INDEX(CONG_VIEC!$J$6:$J$305,MATCH(A14,CONG_VIEC!$S$6:$S$305,0)),"")</f>
        <v/>
      </c>
      <c r="G14" s="20" t="str">
        <f aca="false">IFERROR(INDEX(CONG_VIEC!$O$6:$O$305,MATCH(A14,CONG_VIEC!$S$6:$S$305,0)),"")</f>
        <v/>
      </c>
      <c r="H14" s="20" t="str">
        <f aca="false">IFERROR(INDEX(CONG_VIEC!$K$6:$K$305,MATCH(A14,CONG_VIEC!$S$6:$S$305,0))&amp;"","")</f>
        <v/>
      </c>
      <c r="I14" s="21" t="str">
        <f aca="false">IFERROR(INDEX(CONG_VIEC!$P$6:$P$305,MATCH(A14,CONG_VIEC!$S$6:$S$305,0))&amp;"","")</f>
        <v/>
      </c>
    </row>
    <row r="15" customFormat="false" ht="15" hidden="false" customHeight="false" outlineLevel="0" collapsed="false">
      <c r="A15" s="24" t="n">
        <v>10</v>
      </c>
      <c r="B15" s="20" t="str">
        <f aca="false">IFERROR(INDEX(CONG_VIEC!$A$6:$A$305,MATCH(A15,CONG_VIEC!$S$6:$S$305,0))&amp;"","")</f>
        <v/>
      </c>
      <c r="C15" s="25" t="str">
        <f aca="false">IFERROR(INDEX(CONG_VIEC!$C$6:$C$305,MATCH(A15,CONG_VIEC!$S$6:$S$305,0))&amp;"","")</f>
        <v/>
      </c>
      <c r="D15" s="20" t="str">
        <f aca="false">IFERROR(INDEX(CONG_VIEC!$D$6:$D$305,MATCH(A15,CONG_VIEC!$S$6:$S$305,0))&amp;"","")</f>
        <v/>
      </c>
      <c r="E15" s="20" t="str">
        <f aca="false">IFERROR(INDEX(CONG_VIEC!$F$6:$F$305,MATCH(A15,CONG_VIEC!$S$6:$S$305,0))&amp;"","")</f>
        <v/>
      </c>
      <c r="F15" s="26" t="str">
        <f aca="false">IFERROR(INDEX(CONG_VIEC!$J$6:$J$305,MATCH(A15,CONG_VIEC!$S$6:$S$305,0)),"")</f>
        <v/>
      </c>
      <c r="G15" s="20" t="str">
        <f aca="false">IFERROR(INDEX(CONG_VIEC!$O$6:$O$305,MATCH(A15,CONG_VIEC!$S$6:$S$305,0)),"")</f>
        <v/>
      </c>
      <c r="H15" s="20" t="str">
        <f aca="false">IFERROR(INDEX(CONG_VIEC!$K$6:$K$305,MATCH(A15,CONG_VIEC!$S$6:$S$305,0))&amp;"","")</f>
        <v/>
      </c>
      <c r="I15" s="21" t="str">
        <f aca="false">IFERROR(INDEX(CONG_VIEC!$P$6:$P$305,MATCH(A15,CONG_VIEC!$S$6:$S$305,0))&amp;"","")</f>
        <v/>
      </c>
    </row>
    <row r="16" customFormat="false" ht="15" hidden="false" customHeight="false" outlineLevel="0" collapsed="false">
      <c r="A16" s="24" t="n">
        <v>11</v>
      </c>
      <c r="B16" s="20" t="str">
        <f aca="false">IFERROR(INDEX(CONG_VIEC!$A$6:$A$305,MATCH(A16,CONG_VIEC!$S$6:$S$305,0))&amp;"","")</f>
        <v/>
      </c>
      <c r="C16" s="25" t="str">
        <f aca="false">IFERROR(INDEX(CONG_VIEC!$C$6:$C$305,MATCH(A16,CONG_VIEC!$S$6:$S$305,0))&amp;"","")</f>
        <v/>
      </c>
      <c r="D16" s="20" t="str">
        <f aca="false">IFERROR(INDEX(CONG_VIEC!$D$6:$D$305,MATCH(A16,CONG_VIEC!$S$6:$S$305,0))&amp;"","")</f>
        <v/>
      </c>
      <c r="E16" s="20" t="str">
        <f aca="false">IFERROR(INDEX(CONG_VIEC!$F$6:$F$305,MATCH(A16,CONG_VIEC!$S$6:$S$305,0))&amp;"","")</f>
        <v/>
      </c>
      <c r="F16" s="26" t="str">
        <f aca="false">IFERROR(INDEX(CONG_VIEC!$J$6:$J$305,MATCH(A16,CONG_VIEC!$S$6:$S$305,0)),"")</f>
        <v/>
      </c>
      <c r="G16" s="20" t="str">
        <f aca="false">IFERROR(INDEX(CONG_VIEC!$O$6:$O$305,MATCH(A16,CONG_VIEC!$S$6:$S$305,0)),"")</f>
        <v/>
      </c>
      <c r="H16" s="20" t="str">
        <f aca="false">IFERROR(INDEX(CONG_VIEC!$K$6:$K$305,MATCH(A16,CONG_VIEC!$S$6:$S$305,0))&amp;"","")</f>
        <v/>
      </c>
      <c r="I16" s="21" t="str">
        <f aca="false">IFERROR(INDEX(CONG_VIEC!$P$6:$P$305,MATCH(A16,CONG_VIEC!$S$6:$S$305,0))&amp;"","")</f>
        <v/>
      </c>
    </row>
    <row r="17" customFormat="false" ht="15" hidden="false" customHeight="false" outlineLevel="0" collapsed="false">
      <c r="A17" s="24" t="n">
        <v>12</v>
      </c>
      <c r="B17" s="20" t="str">
        <f aca="false">IFERROR(INDEX(CONG_VIEC!$A$6:$A$305,MATCH(A17,CONG_VIEC!$S$6:$S$305,0))&amp;"","")</f>
        <v/>
      </c>
      <c r="C17" s="25" t="str">
        <f aca="false">IFERROR(INDEX(CONG_VIEC!$C$6:$C$305,MATCH(A17,CONG_VIEC!$S$6:$S$305,0))&amp;"","")</f>
        <v/>
      </c>
      <c r="D17" s="20" t="str">
        <f aca="false">IFERROR(INDEX(CONG_VIEC!$D$6:$D$305,MATCH(A17,CONG_VIEC!$S$6:$S$305,0))&amp;"","")</f>
        <v/>
      </c>
      <c r="E17" s="20" t="str">
        <f aca="false">IFERROR(INDEX(CONG_VIEC!$F$6:$F$305,MATCH(A17,CONG_VIEC!$S$6:$S$305,0))&amp;"","")</f>
        <v/>
      </c>
      <c r="F17" s="26" t="str">
        <f aca="false">IFERROR(INDEX(CONG_VIEC!$J$6:$J$305,MATCH(A17,CONG_VIEC!$S$6:$S$305,0)),"")</f>
        <v/>
      </c>
      <c r="G17" s="20" t="str">
        <f aca="false">IFERROR(INDEX(CONG_VIEC!$O$6:$O$305,MATCH(A17,CONG_VIEC!$S$6:$S$305,0)),"")</f>
        <v/>
      </c>
      <c r="H17" s="20" t="str">
        <f aca="false">IFERROR(INDEX(CONG_VIEC!$K$6:$K$305,MATCH(A17,CONG_VIEC!$S$6:$S$305,0))&amp;"","")</f>
        <v/>
      </c>
      <c r="I17" s="21" t="str">
        <f aca="false">IFERROR(INDEX(CONG_VIEC!$P$6:$P$305,MATCH(A17,CONG_VIEC!$S$6:$S$305,0))&amp;"","")</f>
        <v/>
      </c>
    </row>
    <row r="18" customFormat="false" ht="15" hidden="false" customHeight="false" outlineLevel="0" collapsed="false">
      <c r="A18" s="24" t="n">
        <v>13</v>
      </c>
      <c r="B18" s="20" t="str">
        <f aca="false">IFERROR(INDEX(CONG_VIEC!$A$6:$A$305,MATCH(A18,CONG_VIEC!$S$6:$S$305,0))&amp;"","")</f>
        <v/>
      </c>
      <c r="C18" s="25" t="str">
        <f aca="false">IFERROR(INDEX(CONG_VIEC!$C$6:$C$305,MATCH(A18,CONG_VIEC!$S$6:$S$305,0))&amp;"","")</f>
        <v/>
      </c>
      <c r="D18" s="20" t="str">
        <f aca="false">IFERROR(INDEX(CONG_VIEC!$D$6:$D$305,MATCH(A18,CONG_VIEC!$S$6:$S$305,0))&amp;"","")</f>
        <v/>
      </c>
      <c r="E18" s="20" t="str">
        <f aca="false">IFERROR(INDEX(CONG_VIEC!$F$6:$F$305,MATCH(A18,CONG_VIEC!$S$6:$S$305,0))&amp;"","")</f>
        <v/>
      </c>
      <c r="F18" s="26" t="str">
        <f aca="false">IFERROR(INDEX(CONG_VIEC!$J$6:$J$305,MATCH(A18,CONG_VIEC!$S$6:$S$305,0)),"")</f>
        <v/>
      </c>
      <c r="G18" s="20" t="str">
        <f aca="false">IFERROR(INDEX(CONG_VIEC!$O$6:$O$305,MATCH(A18,CONG_VIEC!$S$6:$S$305,0)),"")</f>
        <v/>
      </c>
      <c r="H18" s="20" t="str">
        <f aca="false">IFERROR(INDEX(CONG_VIEC!$K$6:$K$305,MATCH(A18,CONG_VIEC!$S$6:$S$305,0))&amp;"","")</f>
        <v/>
      </c>
      <c r="I18" s="21" t="str">
        <f aca="false">IFERROR(INDEX(CONG_VIEC!$P$6:$P$305,MATCH(A18,CONG_VIEC!$S$6:$S$305,0))&amp;"","")</f>
        <v/>
      </c>
    </row>
    <row r="19" customFormat="false" ht="15" hidden="false" customHeight="false" outlineLevel="0" collapsed="false">
      <c r="A19" s="24" t="n">
        <v>14</v>
      </c>
      <c r="B19" s="20" t="str">
        <f aca="false">IFERROR(INDEX(CONG_VIEC!$A$6:$A$305,MATCH(A19,CONG_VIEC!$S$6:$S$305,0))&amp;"","")</f>
        <v/>
      </c>
      <c r="C19" s="25" t="str">
        <f aca="false">IFERROR(INDEX(CONG_VIEC!$C$6:$C$305,MATCH(A19,CONG_VIEC!$S$6:$S$305,0))&amp;"","")</f>
        <v/>
      </c>
      <c r="D19" s="20" t="str">
        <f aca="false">IFERROR(INDEX(CONG_VIEC!$D$6:$D$305,MATCH(A19,CONG_VIEC!$S$6:$S$305,0))&amp;"","")</f>
        <v/>
      </c>
      <c r="E19" s="20" t="str">
        <f aca="false">IFERROR(INDEX(CONG_VIEC!$F$6:$F$305,MATCH(A19,CONG_VIEC!$S$6:$S$305,0))&amp;"","")</f>
        <v/>
      </c>
      <c r="F19" s="26" t="str">
        <f aca="false">IFERROR(INDEX(CONG_VIEC!$J$6:$J$305,MATCH(A19,CONG_VIEC!$S$6:$S$305,0)),"")</f>
        <v/>
      </c>
      <c r="G19" s="20" t="str">
        <f aca="false">IFERROR(INDEX(CONG_VIEC!$O$6:$O$305,MATCH(A19,CONG_VIEC!$S$6:$S$305,0)),"")</f>
        <v/>
      </c>
      <c r="H19" s="20" t="str">
        <f aca="false">IFERROR(INDEX(CONG_VIEC!$K$6:$K$305,MATCH(A19,CONG_VIEC!$S$6:$S$305,0))&amp;"","")</f>
        <v/>
      </c>
      <c r="I19" s="21" t="str">
        <f aca="false">IFERROR(INDEX(CONG_VIEC!$P$6:$P$305,MATCH(A19,CONG_VIEC!$S$6:$S$305,0))&amp;"","")</f>
        <v/>
      </c>
    </row>
    <row r="20" customFormat="false" ht="15" hidden="false" customHeight="false" outlineLevel="0" collapsed="false">
      <c r="A20" s="24" t="n">
        <v>15</v>
      </c>
      <c r="B20" s="20" t="str">
        <f aca="false">IFERROR(INDEX(CONG_VIEC!$A$6:$A$305,MATCH(A20,CONG_VIEC!$S$6:$S$305,0))&amp;"","")</f>
        <v/>
      </c>
      <c r="C20" s="25" t="str">
        <f aca="false">IFERROR(INDEX(CONG_VIEC!$C$6:$C$305,MATCH(A20,CONG_VIEC!$S$6:$S$305,0))&amp;"","")</f>
        <v/>
      </c>
      <c r="D20" s="20" t="str">
        <f aca="false">IFERROR(INDEX(CONG_VIEC!$D$6:$D$305,MATCH(A20,CONG_VIEC!$S$6:$S$305,0))&amp;"","")</f>
        <v/>
      </c>
      <c r="E20" s="20" t="str">
        <f aca="false">IFERROR(INDEX(CONG_VIEC!$F$6:$F$305,MATCH(A20,CONG_VIEC!$S$6:$S$305,0))&amp;"","")</f>
        <v/>
      </c>
      <c r="F20" s="26" t="str">
        <f aca="false">IFERROR(INDEX(CONG_VIEC!$J$6:$J$305,MATCH(A20,CONG_VIEC!$S$6:$S$305,0)),"")</f>
        <v/>
      </c>
      <c r="G20" s="20" t="str">
        <f aca="false">IFERROR(INDEX(CONG_VIEC!$O$6:$O$305,MATCH(A20,CONG_VIEC!$S$6:$S$305,0)),"")</f>
        <v/>
      </c>
      <c r="H20" s="20" t="str">
        <f aca="false">IFERROR(INDEX(CONG_VIEC!$K$6:$K$305,MATCH(A20,CONG_VIEC!$S$6:$S$305,0))&amp;"","")</f>
        <v/>
      </c>
      <c r="I20" s="21" t="str">
        <f aca="false">IFERROR(INDEX(CONG_VIEC!$P$6:$P$305,MATCH(A20,CONG_VIEC!$S$6:$S$305,0))&amp;"","")</f>
        <v/>
      </c>
    </row>
    <row r="21" customFormat="false" ht="15" hidden="false" customHeight="false" outlineLevel="0" collapsed="false">
      <c r="A21" s="24" t="n">
        <v>16</v>
      </c>
      <c r="B21" s="20" t="str">
        <f aca="false">IFERROR(INDEX(CONG_VIEC!$A$6:$A$305,MATCH(A21,CONG_VIEC!$S$6:$S$305,0))&amp;"","")</f>
        <v/>
      </c>
      <c r="C21" s="25" t="str">
        <f aca="false">IFERROR(INDEX(CONG_VIEC!$C$6:$C$305,MATCH(A21,CONG_VIEC!$S$6:$S$305,0))&amp;"","")</f>
        <v/>
      </c>
      <c r="D21" s="20" t="str">
        <f aca="false">IFERROR(INDEX(CONG_VIEC!$D$6:$D$305,MATCH(A21,CONG_VIEC!$S$6:$S$305,0))&amp;"","")</f>
        <v/>
      </c>
      <c r="E21" s="20" t="str">
        <f aca="false">IFERROR(INDEX(CONG_VIEC!$F$6:$F$305,MATCH(A21,CONG_VIEC!$S$6:$S$305,0))&amp;"","")</f>
        <v/>
      </c>
      <c r="F21" s="26" t="str">
        <f aca="false">IFERROR(INDEX(CONG_VIEC!$J$6:$J$305,MATCH(A21,CONG_VIEC!$S$6:$S$305,0)),"")</f>
        <v/>
      </c>
      <c r="G21" s="20" t="str">
        <f aca="false">IFERROR(INDEX(CONG_VIEC!$O$6:$O$305,MATCH(A21,CONG_VIEC!$S$6:$S$305,0)),"")</f>
        <v/>
      </c>
      <c r="H21" s="20" t="str">
        <f aca="false">IFERROR(INDEX(CONG_VIEC!$K$6:$K$305,MATCH(A21,CONG_VIEC!$S$6:$S$305,0))&amp;"","")</f>
        <v/>
      </c>
      <c r="I21" s="21" t="str">
        <f aca="false">IFERROR(INDEX(CONG_VIEC!$P$6:$P$305,MATCH(A21,CONG_VIEC!$S$6:$S$305,0))&amp;"","")</f>
        <v/>
      </c>
    </row>
    <row r="22" customFormat="false" ht="15" hidden="false" customHeight="false" outlineLevel="0" collapsed="false">
      <c r="A22" s="24" t="n">
        <v>17</v>
      </c>
      <c r="B22" s="20" t="str">
        <f aca="false">IFERROR(INDEX(CONG_VIEC!$A$6:$A$305,MATCH(A22,CONG_VIEC!$S$6:$S$305,0))&amp;"","")</f>
        <v/>
      </c>
      <c r="C22" s="25" t="str">
        <f aca="false">IFERROR(INDEX(CONG_VIEC!$C$6:$C$305,MATCH(A22,CONG_VIEC!$S$6:$S$305,0))&amp;"","")</f>
        <v/>
      </c>
      <c r="D22" s="20" t="str">
        <f aca="false">IFERROR(INDEX(CONG_VIEC!$D$6:$D$305,MATCH(A22,CONG_VIEC!$S$6:$S$305,0))&amp;"","")</f>
        <v/>
      </c>
      <c r="E22" s="20" t="str">
        <f aca="false">IFERROR(INDEX(CONG_VIEC!$F$6:$F$305,MATCH(A22,CONG_VIEC!$S$6:$S$305,0))&amp;"","")</f>
        <v/>
      </c>
      <c r="F22" s="26" t="str">
        <f aca="false">IFERROR(INDEX(CONG_VIEC!$J$6:$J$305,MATCH(A22,CONG_VIEC!$S$6:$S$305,0)),"")</f>
        <v/>
      </c>
      <c r="G22" s="20" t="str">
        <f aca="false">IFERROR(INDEX(CONG_VIEC!$O$6:$O$305,MATCH(A22,CONG_VIEC!$S$6:$S$305,0)),"")</f>
        <v/>
      </c>
      <c r="H22" s="20" t="str">
        <f aca="false">IFERROR(INDEX(CONG_VIEC!$K$6:$K$305,MATCH(A22,CONG_VIEC!$S$6:$S$305,0))&amp;"","")</f>
        <v/>
      </c>
      <c r="I22" s="21" t="str">
        <f aca="false">IFERROR(INDEX(CONG_VIEC!$P$6:$P$305,MATCH(A22,CONG_VIEC!$S$6:$S$305,0))&amp;"","")</f>
        <v/>
      </c>
    </row>
    <row r="23" customFormat="false" ht="15" hidden="false" customHeight="false" outlineLevel="0" collapsed="false">
      <c r="A23" s="24" t="n">
        <v>18</v>
      </c>
      <c r="B23" s="20" t="str">
        <f aca="false">IFERROR(INDEX(CONG_VIEC!$A$6:$A$305,MATCH(A23,CONG_VIEC!$S$6:$S$305,0))&amp;"","")</f>
        <v/>
      </c>
      <c r="C23" s="25" t="str">
        <f aca="false">IFERROR(INDEX(CONG_VIEC!$C$6:$C$305,MATCH(A23,CONG_VIEC!$S$6:$S$305,0))&amp;"","")</f>
        <v/>
      </c>
      <c r="D23" s="20" t="str">
        <f aca="false">IFERROR(INDEX(CONG_VIEC!$D$6:$D$305,MATCH(A23,CONG_VIEC!$S$6:$S$305,0))&amp;"","")</f>
        <v/>
      </c>
      <c r="E23" s="20" t="str">
        <f aca="false">IFERROR(INDEX(CONG_VIEC!$F$6:$F$305,MATCH(A23,CONG_VIEC!$S$6:$S$305,0))&amp;"","")</f>
        <v/>
      </c>
      <c r="F23" s="26" t="str">
        <f aca="false">IFERROR(INDEX(CONG_VIEC!$J$6:$J$305,MATCH(A23,CONG_VIEC!$S$6:$S$305,0)),"")</f>
        <v/>
      </c>
      <c r="G23" s="20" t="str">
        <f aca="false">IFERROR(INDEX(CONG_VIEC!$O$6:$O$305,MATCH(A23,CONG_VIEC!$S$6:$S$305,0)),"")</f>
        <v/>
      </c>
      <c r="H23" s="20" t="str">
        <f aca="false">IFERROR(INDEX(CONG_VIEC!$K$6:$K$305,MATCH(A23,CONG_VIEC!$S$6:$S$305,0))&amp;"","")</f>
        <v/>
      </c>
      <c r="I23" s="21" t="str">
        <f aca="false">IFERROR(INDEX(CONG_VIEC!$P$6:$P$305,MATCH(A23,CONG_VIEC!$S$6:$S$305,0))&amp;"","")</f>
        <v/>
      </c>
    </row>
    <row r="24" customFormat="false" ht="15" hidden="false" customHeight="false" outlineLevel="0" collapsed="false">
      <c r="A24" s="24" t="n">
        <v>19</v>
      </c>
      <c r="B24" s="20" t="str">
        <f aca="false">IFERROR(INDEX(CONG_VIEC!$A$6:$A$305,MATCH(A24,CONG_VIEC!$S$6:$S$305,0))&amp;"","")</f>
        <v/>
      </c>
      <c r="C24" s="25" t="str">
        <f aca="false">IFERROR(INDEX(CONG_VIEC!$C$6:$C$305,MATCH(A24,CONG_VIEC!$S$6:$S$305,0))&amp;"","")</f>
        <v/>
      </c>
      <c r="D24" s="20" t="str">
        <f aca="false">IFERROR(INDEX(CONG_VIEC!$D$6:$D$305,MATCH(A24,CONG_VIEC!$S$6:$S$305,0))&amp;"","")</f>
        <v/>
      </c>
      <c r="E24" s="20" t="str">
        <f aca="false">IFERROR(INDEX(CONG_VIEC!$F$6:$F$305,MATCH(A24,CONG_VIEC!$S$6:$S$305,0))&amp;"","")</f>
        <v/>
      </c>
      <c r="F24" s="26" t="str">
        <f aca="false">IFERROR(INDEX(CONG_VIEC!$J$6:$J$305,MATCH(A24,CONG_VIEC!$S$6:$S$305,0)),"")</f>
        <v/>
      </c>
      <c r="G24" s="20" t="str">
        <f aca="false">IFERROR(INDEX(CONG_VIEC!$O$6:$O$305,MATCH(A24,CONG_VIEC!$S$6:$S$305,0)),"")</f>
        <v/>
      </c>
      <c r="H24" s="20" t="str">
        <f aca="false">IFERROR(INDEX(CONG_VIEC!$K$6:$K$305,MATCH(A24,CONG_VIEC!$S$6:$S$305,0))&amp;"","")</f>
        <v/>
      </c>
      <c r="I24" s="21" t="str">
        <f aca="false">IFERROR(INDEX(CONG_VIEC!$P$6:$P$305,MATCH(A24,CONG_VIEC!$S$6:$S$305,0))&amp;"","")</f>
        <v/>
      </c>
    </row>
    <row r="25" customFormat="false" ht="15" hidden="false" customHeight="false" outlineLevel="0" collapsed="false">
      <c r="A25" s="24" t="n">
        <v>20</v>
      </c>
      <c r="B25" s="20" t="str">
        <f aca="false">IFERROR(INDEX(CONG_VIEC!$A$6:$A$305,MATCH(A25,CONG_VIEC!$S$6:$S$305,0))&amp;"","")</f>
        <v/>
      </c>
      <c r="C25" s="25" t="str">
        <f aca="false">IFERROR(INDEX(CONG_VIEC!$C$6:$C$305,MATCH(A25,CONG_VIEC!$S$6:$S$305,0))&amp;"","")</f>
        <v/>
      </c>
      <c r="D25" s="20" t="str">
        <f aca="false">IFERROR(INDEX(CONG_VIEC!$D$6:$D$305,MATCH(A25,CONG_VIEC!$S$6:$S$305,0))&amp;"","")</f>
        <v/>
      </c>
      <c r="E25" s="20" t="str">
        <f aca="false">IFERROR(INDEX(CONG_VIEC!$F$6:$F$305,MATCH(A25,CONG_VIEC!$S$6:$S$305,0))&amp;"","")</f>
        <v/>
      </c>
      <c r="F25" s="26" t="str">
        <f aca="false">IFERROR(INDEX(CONG_VIEC!$J$6:$J$305,MATCH(A25,CONG_VIEC!$S$6:$S$305,0)),"")</f>
        <v/>
      </c>
      <c r="G25" s="20" t="str">
        <f aca="false">IFERROR(INDEX(CONG_VIEC!$O$6:$O$305,MATCH(A25,CONG_VIEC!$S$6:$S$305,0)),"")</f>
        <v/>
      </c>
      <c r="H25" s="20" t="str">
        <f aca="false">IFERROR(INDEX(CONG_VIEC!$K$6:$K$305,MATCH(A25,CONG_VIEC!$S$6:$S$305,0))&amp;"","")</f>
        <v/>
      </c>
      <c r="I25" s="21" t="str">
        <f aca="false">IFERROR(INDEX(CONG_VIEC!$P$6:$P$305,MATCH(A25,CONG_VIEC!$S$6:$S$305,0))&amp;"","")</f>
        <v/>
      </c>
    </row>
    <row r="26" customFormat="false" ht="15" hidden="false" customHeight="false" outlineLevel="0" collapsed="false">
      <c r="A26" s="24" t="n">
        <v>21</v>
      </c>
      <c r="B26" s="20" t="str">
        <f aca="false">IFERROR(INDEX(CONG_VIEC!$A$6:$A$305,MATCH(A26,CONG_VIEC!$S$6:$S$305,0))&amp;"","")</f>
        <v/>
      </c>
      <c r="C26" s="25" t="str">
        <f aca="false">IFERROR(INDEX(CONG_VIEC!$C$6:$C$305,MATCH(A26,CONG_VIEC!$S$6:$S$305,0))&amp;"","")</f>
        <v/>
      </c>
      <c r="D26" s="20" t="str">
        <f aca="false">IFERROR(INDEX(CONG_VIEC!$D$6:$D$305,MATCH(A26,CONG_VIEC!$S$6:$S$305,0))&amp;"","")</f>
        <v/>
      </c>
      <c r="E26" s="20" t="str">
        <f aca="false">IFERROR(INDEX(CONG_VIEC!$F$6:$F$305,MATCH(A26,CONG_VIEC!$S$6:$S$305,0))&amp;"","")</f>
        <v/>
      </c>
      <c r="F26" s="26" t="str">
        <f aca="false">IFERROR(INDEX(CONG_VIEC!$J$6:$J$305,MATCH(A26,CONG_VIEC!$S$6:$S$305,0)),"")</f>
        <v/>
      </c>
      <c r="G26" s="20" t="str">
        <f aca="false">IFERROR(INDEX(CONG_VIEC!$O$6:$O$305,MATCH(A26,CONG_VIEC!$S$6:$S$305,0)),"")</f>
        <v/>
      </c>
      <c r="H26" s="20" t="str">
        <f aca="false">IFERROR(INDEX(CONG_VIEC!$K$6:$K$305,MATCH(A26,CONG_VIEC!$S$6:$S$305,0))&amp;"","")</f>
        <v/>
      </c>
      <c r="I26" s="21" t="str">
        <f aca="false">IFERROR(INDEX(CONG_VIEC!$P$6:$P$305,MATCH(A26,CONG_VIEC!$S$6:$S$305,0))&amp;"","")</f>
        <v/>
      </c>
    </row>
    <row r="27" customFormat="false" ht="15" hidden="false" customHeight="false" outlineLevel="0" collapsed="false">
      <c r="A27" s="24" t="n">
        <v>22</v>
      </c>
      <c r="B27" s="20" t="str">
        <f aca="false">IFERROR(INDEX(CONG_VIEC!$A$6:$A$305,MATCH(A27,CONG_VIEC!$S$6:$S$305,0))&amp;"","")</f>
        <v/>
      </c>
      <c r="C27" s="25" t="str">
        <f aca="false">IFERROR(INDEX(CONG_VIEC!$C$6:$C$305,MATCH(A27,CONG_VIEC!$S$6:$S$305,0))&amp;"","")</f>
        <v/>
      </c>
      <c r="D27" s="20" t="str">
        <f aca="false">IFERROR(INDEX(CONG_VIEC!$D$6:$D$305,MATCH(A27,CONG_VIEC!$S$6:$S$305,0))&amp;"","")</f>
        <v/>
      </c>
      <c r="E27" s="20" t="str">
        <f aca="false">IFERROR(INDEX(CONG_VIEC!$F$6:$F$305,MATCH(A27,CONG_VIEC!$S$6:$S$305,0))&amp;"","")</f>
        <v/>
      </c>
      <c r="F27" s="26" t="str">
        <f aca="false">IFERROR(INDEX(CONG_VIEC!$J$6:$J$305,MATCH(A27,CONG_VIEC!$S$6:$S$305,0)),"")</f>
        <v/>
      </c>
      <c r="G27" s="20" t="str">
        <f aca="false">IFERROR(INDEX(CONG_VIEC!$O$6:$O$305,MATCH(A27,CONG_VIEC!$S$6:$S$305,0)),"")</f>
        <v/>
      </c>
      <c r="H27" s="20" t="str">
        <f aca="false">IFERROR(INDEX(CONG_VIEC!$K$6:$K$305,MATCH(A27,CONG_VIEC!$S$6:$S$305,0))&amp;"","")</f>
        <v/>
      </c>
      <c r="I27" s="21" t="str">
        <f aca="false">IFERROR(INDEX(CONG_VIEC!$P$6:$P$305,MATCH(A27,CONG_VIEC!$S$6:$S$305,0))&amp;"","")</f>
        <v/>
      </c>
    </row>
    <row r="28" customFormat="false" ht="15" hidden="false" customHeight="false" outlineLevel="0" collapsed="false">
      <c r="A28" s="24" t="n">
        <v>23</v>
      </c>
      <c r="B28" s="20" t="str">
        <f aca="false">IFERROR(INDEX(CONG_VIEC!$A$6:$A$305,MATCH(A28,CONG_VIEC!$S$6:$S$305,0))&amp;"","")</f>
        <v/>
      </c>
      <c r="C28" s="25" t="str">
        <f aca="false">IFERROR(INDEX(CONG_VIEC!$C$6:$C$305,MATCH(A28,CONG_VIEC!$S$6:$S$305,0))&amp;"","")</f>
        <v/>
      </c>
      <c r="D28" s="20" t="str">
        <f aca="false">IFERROR(INDEX(CONG_VIEC!$D$6:$D$305,MATCH(A28,CONG_VIEC!$S$6:$S$305,0))&amp;"","")</f>
        <v/>
      </c>
      <c r="E28" s="20" t="str">
        <f aca="false">IFERROR(INDEX(CONG_VIEC!$F$6:$F$305,MATCH(A28,CONG_VIEC!$S$6:$S$305,0))&amp;"","")</f>
        <v/>
      </c>
      <c r="F28" s="26" t="str">
        <f aca="false">IFERROR(INDEX(CONG_VIEC!$J$6:$J$305,MATCH(A28,CONG_VIEC!$S$6:$S$305,0)),"")</f>
        <v/>
      </c>
      <c r="G28" s="20" t="str">
        <f aca="false">IFERROR(INDEX(CONG_VIEC!$O$6:$O$305,MATCH(A28,CONG_VIEC!$S$6:$S$305,0)),"")</f>
        <v/>
      </c>
      <c r="H28" s="20" t="str">
        <f aca="false">IFERROR(INDEX(CONG_VIEC!$K$6:$K$305,MATCH(A28,CONG_VIEC!$S$6:$S$305,0))&amp;"","")</f>
        <v/>
      </c>
      <c r="I28" s="21" t="str">
        <f aca="false">IFERROR(INDEX(CONG_VIEC!$P$6:$P$305,MATCH(A28,CONG_VIEC!$S$6:$S$305,0))&amp;"","")</f>
        <v/>
      </c>
    </row>
    <row r="29" customFormat="false" ht="15" hidden="false" customHeight="false" outlineLevel="0" collapsed="false">
      <c r="A29" s="24" t="n">
        <v>24</v>
      </c>
      <c r="B29" s="20" t="str">
        <f aca="false">IFERROR(INDEX(CONG_VIEC!$A$6:$A$305,MATCH(A29,CONG_VIEC!$S$6:$S$305,0))&amp;"","")</f>
        <v/>
      </c>
      <c r="C29" s="25" t="str">
        <f aca="false">IFERROR(INDEX(CONG_VIEC!$C$6:$C$305,MATCH(A29,CONG_VIEC!$S$6:$S$305,0))&amp;"","")</f>
        <v/>
      </c>
      <c r="D29" s="20" t="str">
        <f aca="false">IFERROR(INDEX(CONG_VIEC!$D$6:$D$305,MATCH(A29,CONG_VIEC!$S$6:$S$305,0))&amp;"","")</f>
        <v/>
      </c>
      <c r="E29" s="20" t="str">
        <f aca="false">IFERROR(INDEX(CONG_VIEC!$F$6:$F$305,MATCH(A29,CONG_VIEC!$S$6:$S$305,0))&amp;"","")</f>
        <v/>
      </c>
      <c r="F29" s="26" t="str">
        <f aca="false">IFERROR(INDEX(CONG_VIEC!$J$6:$J$305,MATCH(A29,CONG_VIEC!$S$6:$S$305,0)),"")</f>
        <v/>
      </c>
      <c r="G29" s="20" t="str">
        <f aca="false">IFERROR(INDEX(CONG_VIEC!$O$6:$O$305,MATCH(A29,CONG_VIEC!$S$6:$S$305,0)),"")</f>
        <v/>
      </c>
      <c r="H29" s="20" t="str">
        <f aca="false">IFERROR(INDEX(CONG_VIEC!$K$6:$K$305,MATCH(A29,CONG_VIEC!$S$6:$S$305,0))&amp;"","")</f>
        <v/>
      </c>
      <c r="I29" s="21" t="str">
        <f aca="false">IFERROR(INDEX(CONG_VIEC!$P$6:$P$305,MATCH(A29,CONG_VIEC!$S$6:$S$305,0))&amp;"","")</f>
        <v/>
      </c>
    </row>
    <row r="30" customFormat="false" ht="15" hidden="false" customHeight="false" outlineLevel="0" collapsed="false">
      <c r="A30" s="24" t="n">
        <v>25</v>
      </c>
      <c r="B30" s="20" t="str">
        <f aca="false">IFERROR(INDEX(CONG_VIEC!$A$6:$A$305,MATCH(A30,CONG_VIEC!$S$6:$S$305,0))&amp;"","")</f>
        <v/>
      </c>
      <c r="C30" s="25" t="str">
        <f aca="false">IFERROR(INDEX(CONG_VIEC!$C$6:$C$305,MATCH(A30,CONG_VIEC!$S$6:$S$305,0))&amp;"","")</f>
        <v/>
      </c>
      <c r="D30" s="20" t="str">
        <f aca="false">IFERROR(INDEX(CONG_VIEC!$D$6:$D$305,MATCH(A30,CONG_VIEC!$S$6:$S$305,0))&amp;"","")</f>
        <v/>
      </c>
      <c r="E30" s="20" t="str">
        <f aca="false">IFERROR(INDEX(CONG_VIEC!$F$6:$F$305,MATCH(A30,CONG_VIEC!$S$6:$S$305,0))&amp;"","")</f>
        <v/>
      </c>
      <c r="F30" s="26" t="str">
        <f aca="false">IFERROR(INDEX(CONG_VIEC!$J$6:$J$305,MATCH(A30,CONG_VIEC!$S$6:$S$305,0)),"")</f>
        <v/>
      </c>
      <c r="G30" s="20" t="str">
        <f aca="false">IFERROR(INDEX(CONG_VIEC!$O$6:$O$305,MATCH(A30,CONG_VIEC!$S$6:$S$305,0)),"")</f>
        <v/>
      </c>
      <c r="H30" s="20" t="str">
        <f aca="false">IFERROR(INDEX(CONG_VIEC!$K$6:$K$305,MATCH(A30,CONG_VIEC!$S$6:$S$305,0))&amp;"","")</f>
        <v/>
      </c>
      <c r="I30" s="21" t="str">
        <f aca="false">IFERROR(INDEX(CONG_VIEC!$P$6:$P$305,MATCH(A30,CONG_VIEC!$S$6:$S$305,0))&amp;"","")</f>
        <v/>
      </c>
    </row>
    <row r="31" customFormat="false" ht="15" hidden="false" customHeight="false" outlineLevel="0" collapsed="false">
      <c r="A31" s="24" t="n">
        <v>26</v>
      </c>
      <c r="B31" s="20" t="str">
        <f aca="false">IFERROR(INDEX(CONG_VIEC!$A$6:$A$305,MATCH(A31,CONG_VIEC!$S$6:$S$305,0))&amp;"","")</f>
        <v/>
      </c>
      <c r="C31" s="25" t="str">
        <f aca="false">IFERROR(INDEX(CONG_VIEC!$C$6:$C$305,MATCH(A31,CONG_VIEC!$S$6:$S$305,0))&amp;"","")</f>
        <v/>
      </c>
      <c r="D31" s="20" t="str">
        <f aca="false">IFERROR(INDEX(CONG_VIEC!$D$6:$D$305,MATCH(A31,CONG_VIEC!$S$6:$S$305,0))&amp;"","")</f>
        <v/>
      </c>
      <c r="E31" s="20" t="str">
        <f aca="false">IFERROR(INDEX(CONG_VIEC!$F$6:$F$305,MATCH(A31,CONG_VIEC!$S$6:$S$305,0))&amp;"","")</f>
        <v/>
      </c>
      <c r="F31" s="26" t="str">
        <f aca="false">IFERROR(INDEX(CONG_VIEC!$J$6:$J$305,MATCH(A31,CONG_VIEC!$S$6:$S$305,0)),"")</f>
        <v/>
      </c>
      <c r="G31" s="20" t="str">
        <f aca="false">IFERROR(INDEX(CONG_VIEC!$O$6:$O$305,MATCH(A31,CONG_VIEC!$S$6:$S$305,0)),"")</f>
        <v/>
      </c>
      <c r="H31" s="20" t="str">
        <f aca="false">IFERROR(INDEX(CONG_VIEC!$K$6:$K$305,MATCH(A31,CONG_VIEC!$S$6:$S$305,0))&amp;"","")</f>
        <v/>
      </c>
      <c r="I31" s="21" t="str">
        <f aca="false">IFERROR(INDEX(CONG_VIEC!$P$6:$P$305,MATCH(A31,CONG_VIEC!$S$6:$S$305,0))&amp;"","")</f>
        <v/>
      </c>
    </row>
    <row r="32" customFormat="false" ht="15" hidden="false" customHeight="false" outlineLevel="0" collapsed="false">
      <c r="A32" s="24" t="n">
        <v>27</v>
      </c>
      <c r="B32" s="20" t="str">
        <f aca="false">IFERROR(INDEX(CONG_VIEC!$A$6:$A$305,MATCH(A32,CONG_VIEC!$S$6:$S$305,0))&amp;"","")</f>
        <v/>
      </c>
      <c r="C32" s="25" t="str">
        <f aca="false">IFERROR(INDEX(CONG_VIEC!$C$6:$C$305,MATCH(A32,CONG_VIEC!$S$6:$S$305,0))&amp;"","")</f>
        <v/>
      </c>
      <c r="D32" s="20" t="str">
        <f aca="false">IFERROR(INDEX(CONG_VIEC!$D$6:$D$305,MATCH(A32,CONG_VIEC!$S$6:$S$305,0))&amp;"","")</f>
        <v/>
      </c>
      <c r="E32" s="20" t="str">
        <f aca="false">IFERROR(INDEX(CONG_VIEC!$F$6:$F$305,MATCH(A32,CONG_VIEC!$S$6:$S$305,0))&amp;"","")</f>
        <v/>
      </c>
      <c r="F32" s="26" t="str">
        <f aca="false">IFERROR(INDEX(CONG_VIEC!$J$6:$J$305,MATCH(A32,CONG_VIEC!$S$6:$S$305,0)),"")</f>
        <v/>
      </c>
      <c r="G32" s="20" t="str">
        <f aca="false">IFERROR(INDEX(CONG_VIEC!$O$6:$O$305,MATCH(A32,CONG_VIEC!$S$6:$S$305,0)),"")</f>
        <v/>
      </c>
      <c r="H32" s="20" t="str">
        <f aca="false">IFERROR(INDEX(CONG_VIEC!$K$6:$K$305,MATCH(A32,CONG_VIEC!$S$6:$S$305,0))&amp;"","")</f>
        <v/>
      </c>
      <c r="I32" s="21" t="str">
        <f aca="false">IFERROR(INDEX(CONG_VIEC!$P$6:$P$305,MATCH(A32,CONG_VIEC!$S$6:$S$305,0))&amp;"","")</f>
        <v/>
      </c>
    </row>
    <row r="33" customFormat="false" ht="15" hidden="false" customHeight="false" outlineLevel="0" collapsed="false">
      <c r="A33" s="24" t="n">
        <v>28</v>
      </c>
      <c r="B33" s="20" t="str">
        <f aca="false">IFERROR(INDEX(CONG_VIEC!$A$6:$A$305,MATCH(A33,CONG_VIEC!$S$6:$S$305,0))&amp;"","")</f>
        <v/>
      </c>
      <c r="C33" s="25" t="str">
        <f aca="false">IFERROR(INDEX(CONG_VIEC!$C$6:$C$305,MATCH(A33,CONG_VIEC!$S$6:$S$305,0))&amp;"","")</f>
        <v/>
      </c>
      <c r="D33" s="20" t="str">
        <f aca="false">IFERROR(INDEX(CONG_VIEC!$D$6:$D$305,MATCH(A33,CONG_VIEC!$S$6:$S$305,0))&amp;"","")</f>
        <v/>
      </c>
      <c r="E33" s="20" t="str">
        <f aca="false">IFERROR(INDEX(CONG_VIEC!$F$6:$F$305,MATCH(A33,CONG_VIEC!$S$6:$S$305,0))&amp;"","")</f>
        <v/>
      </c>
      <c r="F33" s="26" t="str">
        <f aca="false">IFERROR(INDEX(CONG_VIEC!$J$6:$J$305,MATCH(A33,CONG_VIEC!$S$6:$S$305,0)),"")</f>
        <v/>
      </c>
      <c r="G33" s="20" t="str">
        <f aca="false">IFERROR(INDEX(CONG_VIEC!$O$6:$O$305,MATCH(A33,CONG_VIEC!$S$6:$S$305,0)),"")</f>
        <v/>
      </c>
      <c r="H33" s="20" t="str">
        <f aca="false">IFERROR(INDEX(CONG_VIEC!$K$6:$K$305,MATCH(A33,CONG_VIEC!$S$6:$S$305,0))&amp;"","")</f>
        <v/>
      </c>
      <c r="I33" s="21" t="str">
        <f aca="false">IFERROR(INDEX(CONG_VIEC!$P$6:$P$305,MATCH(A33,CONG_VIEC!$S$6:$S$305,0))&amp;"","")</f>
        <v/>
      </c>
    </row>
    <row r="34" customFormat="false" ht="15" hidden="false" customHeight="false" outlineLevel="0" collapsed="false">
      <c r="A34" s="24" t="n">
        <v>29</v>
      </c>
      <c r="B34" s="20" t="str">
        <f aca="false">IFERROR(INDEX(CONG_VIEC!$A$6:$A$305,MATCH(A34,CONG_VIEC!$S$6:$S$305,0))&amp;"","")</f>
        <v/>
      </c>
      <c r="C34" s="25" t="str">
        <f aca="false">IFERROR(INDEX(CONG_VIEC!$C$6:$C$305,MATCH(A34,CONG_VIEC!$S$6:$S$305,0))&amp;"","")</f>
        <v/>
      </c>
      <c r="D34" s="20" t="str">
        <f aca="false">IFERROR(INDEX(CONG_VIEC!$D$6:$D$305,MATCH(A34,CONG_VIEC!$S$6:$S$305,0))&amp;"","")</f>
        <v/>
      </c>
      <c r="E34" s="20" t="str">
        <f aca="false">IFERROR(INDEX(CONG_VIEC!$F$6:$F$305,MATCH(A34,CONG_VIEC!$S$6:$S$305,0))&amp;"","")</f>
        <v/>
      </c>
      <c r="F34" s="26" t="str">
        <f aca="false">IFERROR(INDEX(CONG_VIEC!$J$6:$J$305,MATCH(A34,CONG_VIEC!$S$6:$S$305,0)),"")</f>
        <v/>
      </c>
      <c r="G34" s="20" t="str">
        <f aca="false">IFERROR(INDEX(CONG_VIEC!$O$6:$O$305,MATCH(A34,CONG_VIEC!$S$6:$S$305,0)),"")</f>
        <v/>
      </c>
      <c r="H34" s="20" t="str">
        <f aca="false">IFERROR(INDEX(CONG_VIEC!$K$6:$K$305,MATCH(A34,CONG_VIEC!$S$6:$S$305,0))&amp;"","")</f>
        <v/>
      </c>
      <c r="I34" s="21" t="str">
        <f aca="false">IFERROR(INDEX(CONG_VIEC!$P$6:$P$305,MATCH(A34,CONG_VIEC!$S$6:$S$305,0))&amp;"","")</f>
        <v/>
      </c>
    </row>
    <row r="35" customFormat="false" ht="15" hidden="false" customHeight="false" outlineLevel="0" collapsed="false">
      <c r="A35" s="24" t="n">
        <v>30</v>
      </c>
      <c r="B35" s="20" t="str">
        <f aca="false">IFERROR(INDEX(CONG_VIEC!$A$6:$A$305,MATCH(A35,CONG_VIEC!$S$6:$S$305,0))&amp;"","")</f>
        <v/>
      </c>
      <c r="C35" s="25" t="str">
        <f aca="false">IFERROR(INDEX(CONG_VIEC!$C$6:$C$305,MATCH(A35,CONG_VIEC!$S$6:$S$305,0))&amp;"","")</f>
        <v/>
      </c>
      <c r="D35" s="20" t="str">
        <f aca="false">IFERROR(INDEX(CONG_VIEC!$D$6:$D$305,MATCH(A35,CONG_VIEC!$S$6:$S$305,0))&amp;"","")</f>
        <v/>
      </c>
      <c r="E35" s="20" t="str">
        <f aca="false">IFERROR(INDEX(CONG_VIEC!$F$6:$F$305,MATCH(A35,CONG_VIEC!$S$6:$S$305,0))&amp;"","")</f>
        <v/>
      </c>
      <c r="F35" s="26" t="str">
        <f aca="false">IFERROR(INDEX(CONG_VIEC!$J$6:$J$305,MATCH(A35,CONG_VIEC!$S$6:$S$305,0)),"")</f>
        <v/>
      </c>
      <c r="G35" s="20" t="str">
        <f aca="false">IFERROR(INDEX(CONG_VIEC!$O$6:$O$305,MATCH(A35,CONG_VIEC!$S$6:$S$305,0)),"")</f>
        <v/>
      </c>
      <c r="H35" s="20" t="str">
        <f aca="false">IFERROR(INDEX(CONG_VIEC!$K$6:$K$305,MATCH(A35,CONG_VIEC!$S$6:$S$305,0))&amp;"","")</f>
        <v/>
      </c>
      <c r="I35" s="21" t="str">
        <f aca="false">IFERROR(INDEX(CONG_VIEC!$P$6:$P$305,MATCH(A35,CONG_VIEC!$S$6:$S$305,0))&amp;"","")</f>
        <v/>
      </c>
    </row>
    <row r="36" customFormat="false" ht="15" hidden="false" customHeight="false" outlineLevel="0" collapsed="false">
      <c r="A36" s="24" t="n">
        <v>31</v>
      </c>
      <c r="B36" s="20" t="str">
        <f aca="false">IFERROR(INDEX(CONG_VIEC!$A$6:$A$305,MATCH(A36,CONG_VIEC!$S$6:$S$305,0))&amp;"","")</f>
        <v/>
      </c>
      <c r="C36" s="25" t="str">
        <f aca="false">IFERROR(INDEX(CONG_VIEC!$C$6:$C$305,MATCH(A36,CONG_VIEC!$S$6:$S$305,0))&amp;"","")</f>
        <v/>
      </c>
      <c r="D36" s="20" t="str">
        <f aca="false">IFERROR(INDEX(CONG_VIEC!$D$6:$D$305,MATCH(A36,CONG_VIEC!$S$6:$S$305,0))&amp;"","")</f>
        <v/>
      </c>
      <c r="E36" s="20" t="str">
        <f aca="false">IFERROR(INDEX(CONG_VIEC!$F$6:$F$305,MATCH(A36,CONG_VIEC!$S$6:$S$305,0))&amp;"","")</f>
        <v/>
      </c>
      <c r="F36" s="26" t="str">
        <f aca="false">IFERROR(INDEX(CONG_VIEC!$J$6:$J$305,MATCH(A36,CONG_VIEC!$S$6:$S$305,0)),"")</f>
        <v/>
      </c>
      <c r="G36" s="20" t="str">
        <f aca="false">IFERROR(INDEX(CONG_VIEC!$O$6:$O$305,MATCH(A36,CONG_VIEC!$S$6:$S$305,0)),"")</f>
        <v/>
      </c>
      <c r="H36" s="20" t="str">
        <f aca="false">IFERROR(INDEX(CONG_VIEC!$K$6:$K$305,MATCH(A36,CONG_VIEC!$S$6:$S$305,0))&amp;"","")</f>
        <v/>
      </c>
      <c r="I36" s="21" t="str">
        <f aca="false">IFERROR(INDEX(CONG_VIEC!$P$6:$P$305,MATCH(A36,CONG_VIEC!$S$6:$S$305,0))&amp;"","")</f>
        <v/>
      </c>
    </row>
    <row r="37" customFormat="false" ht="15" hidden="false" customHeight="false" outlineLevel="0" collapsed="false">
      <c r="A37" s="24" t="n">
        <v>32</v>
      </c>
      <c r="B37" s="20" t="str">
        <f aca="false">IFERROR(INDEX(CONG_VIEC!$A$6:$A$305,MATCH(A37,CONG_VIEC!$S$6:$S$305,0))&amp;"","")</f>
        <v/>
      </c>
      <c r="C37" s="25" t="str">
        <f aca="false">IFERROR(INDEX(CONG_VIEC!$C$6:$C$305,MATCH(A37,CONG_VIEC!$S$6:$S$305,0))&amp;"","")</f>
        <v/>
      </c>
      <c r="D37" s="20" t="str">
        <f aca="false">IFERROR(INDEX(CONG_VIEC!$D$6:$D$305,MATCH(A37,CONG_VIEC!$S$6:$S$305,0))&amp;"","")</f>
        <v/>
      </c>
      <c r="E37" s="20" t="str">
        <f aca="false">IFERROR(INDEX(CONG_VIEC!$F$6:$F$305,MATCH(A37,CONG_VIEC!$S$6:$S$305,0))&amp;"","")</f>
        <v/>
      </c>
      <c r="F37" s="26" t="str">
        <f aca="false">IFERROR(INDEX(CONG_VIEC!$J$6:$J$305,MATCH(A37,CONG_VIEC!$S$6:$S$305,0)),"")</f>
        <v/>
      </c>
      <c r="G37" s="20" t="str">
        <f aca="false">IFERROR(INDEX(CONG_VIEC!$O$6:$O$305,MATCH(A37,CONG_VIEC!$S$6:$S$305,0)),"")</f>
        <v/>
      </c>
      <c r="H37" s="20" t="str">
        <f aca="false">IFERROR(INDEX(CONG_VIEC!$K$6:$K$305,MATCH(A37,CONG_VIEC!$S$6:$S$305,0))&amp;"","")</f>
        <v/>
      </c>
      <c r="I37" s="21" t="str">
        <f aca="false">IFERROR(INDEX(CONG_VIEC!$P$6:$P$305,MATCH(A37,CONG_VIEC!$S$6:$S$305,0))&amp;"","")</f>
        <v/>
      </c>
    </row>
    <row r="38" customFormat="false" ht="15" hidden="false" customHeight="false" outlineLevel="0" collapsed="false">
      <c r="A38" s="24" t="n">
        <v>33</v>
      </c>
      <c r="B38" s="20" t="str">
        <f aca="false">IFERROR(INDEX(CONG_VIEC!$A$6:$A$305,MATCH(A38,CONG_VIEC!$S$6:$S$305,0))&amp;"","")</f>
        <v/>
      </c>
      <c r="C38" s="25" t="str">
        <f aca="false">IFERROR(INDEX(CONG_VIEC!$C$6:$C$305,MATCH(A38,CONG_VIEC!$S$6:$S$305,0))&amp;"","")</f>
        <v/>
      </c>
      <c r="D38" s="20" t="str">
        <f aca="false">IFERROR(INDEX(CONG_VIEC!$D$6:$D$305,MATCH(A38,CONG_VIEC!$S$6:$S$305,0))&amp;"","")</f>
        <v/>
      </c>
      <c r="E38" s="20" t="str">
        <f aca="false">IFERROR(INDEX(CONG_VIEC!$F$6:$F$305,MATCH(A38,CONG_VIEC!$S$6:$S$305,0))&amp;"","")</f>
        <v/>
      </c>
      <c r="F38" s="26" t="str">
        <f aca="false">IFERROR(INDEX(CONG_VIEC!$J$6:$J$305,MATCH(A38,CONG_VIEC!$S$6:$S$305,0)),"")</f>
        <v/>
      </c>
      <c r="G38" s="20" t="str">
        <f aca="false">IFERROR(INDEX(CONG_VIEC!$O$6:$O$305,MATCH(A38,CONG_VIEC!$S$6:$S$305,0)),"")</f>
        <v/>
      </c>
      <c r="H38" s="20" t="str">
        <f aca="false">IFERROR(INDEX(CONG_VIEC!$K$6:$K$305,MATCH(A38,CONG_VIEC!$S$6:$S$305,0))&amp;"","")</f>
        <v/>
      </c>
      <c r="I38" s="21" t="str">
        <f aca="false">IFERROR(INDEX(CONG_VIEC!$P$6:$P$305,MATCH(A38,CONG_VIEC!$S$6:$S$305,0))&amp;"","")</f>
        <v/>
      </c>
    </row>
    <row r="39" customFormat="false" ht="15" hidden="false" customHeight="false" outlineLevel="0" collapsed="false">
      <c r="A39" s="24" t="n">
        <v>34</v>
      </c>
      <c r="B39" s="20" t="str">
        <f aca="false">IFERROR(INDEX(CONG_VIEC!$A$6:$A$305,MATCH(A39,CONG_VIEC!$S$6:$S$305,0))&amp;"","")</f>
        <v/>
      </c>
      <c r="C39" s="25" t="str">
        <f aca="false">IFERROR(INDEX(CONG_VIEC!$C$6:$C$305,MATCH(A39,CONG_VIEC!$S$6:$S$305,0))&amp;"","")</f>
        <v/>
      </c>
      <c r="D39" s="20" t="str">
        <f aca="false">IFERROR(INDEX(CONG_VIEC!$D$6:$D$305,MATCH(A39,CONG_VIEC!$S$6:$S$305,0))&amp;"","")</f>
        <v/>
      </c>
      <c r="E39" s="20" t="str">
        <f aca="false">IFERROR(INDEX(CONG_VIEC!$F$6:$F$305,MATCH(A39,CONG_VIEC!$S$6:$S$305,0))&amp;"","")</f>
        <v/>
      </c>
      <c r="F39" s="26" t="str">
        <f aca="false">IFERROR(INDEX(CONG_VIEC!$J$6:$J$305,MATCH(A39,CONG_VIEC!$S$6:$S$305,0)),"")</f>
        <v/>
      </c>
      <c r="G39" s="20" t="str">
        <f aca="false">IFERROR(INDEX(CONG_VIEC!$O$6:$O$305,MATCH(A39,CONG_VIEC!$S$6:$S$305,0)),"")</f>
        <v/>
      </c>
      <c r="H39" s="20" t="str">
        <f aca="false">IFERROR(INDEX(CONG_VIEC!$K$6:$K$305,MATCH(A39,CONG_VIEC!$S$6:$S$305,0))&amp;"","")</f>
        <v/>
      </c>
      <c r="I39" s="21" t="str">
        <f aca="false">IFERROR(INDEX(CONG_VIEC!$P$6:$P$305,MATCH(A39,CONG_VIEC!$S$6:$S$305,0))&amp;"","")</f>
        <v/>
      </c>
    </row>
    <row r="40" customFormat="false" ht="15" hidden="false" customHeight="false" outlineLevel="0" collapsed="false">
      <c r="A40" s="24" t="n">
        <v>35</v>
      </c>
      <c r="B40" s="20" t="str">
        <f aca="false">IFERROR(INDEX(CONG_VIEC!$A$6:$A$305,MATCH(A40,CONG_VIEC!$S$6:$S$305,0))&amp;"","")</f>
        <v/>
      </c>
      <c r="C40" s="25" t="str">
        <f aca="false">IFERROR(INDEX(CONG_VIEC!$C$6:$C$305,MATCH(A40,CONG_VIEC!$S$6:$S$305,0))&amp;"","")</f>
        <v/>
      </c>
      <c r="D40" s="20" t="str">
        <f aca="false">IFERROR(INDEX(CONG_VIEC!$D$6:$D$305,MATCH(A40,CONG_VIEC!$S$6:$S$305,0))&amp;"","")</f>
        <v/>
      </c>
      <c r="E40" s="20" t="str">
        <f aca="false">IFERROR(INDEX(CONG_VIEC!$F$6:$F$305,MATCH(A40,CONG_VIEC!$S$6:$S$305,0))&amp;"","")</f>
        <v/>
      </c>
      <c r="F40" s="26" t="str">
        <f aca="false">IFERROR(INDEX(CONG_VIEC!$J$6:$J$305,MATCH(A40,CONG_VIEC!$S$6:$S$305,0)),"")</f>
        <v/>
      </c>
      <c r="G40" s="20" t="str">
        <f aca="false">IFERROR(INDEX(CONG_VIEC!$O$6:$O$305,MATCH(A40,CONG_VIEC!$S$6:$S$305,0)),"")</f>
        <v/>
      </c>
      <c r="H40" s="20" t="str">
        <f aca="false">IFERROR(INDEX(CONG_VIEC!$K$6:$K$305,MATCH(A40,CONG_VIEC!$S$6:$S$305,0))&amp;"","")</f>
        <v/>
      </c>
      <c r="I40" s="21" t="str">
        <f aca="false">IFERROR(INDEX(CONG_VIEC!$P$6:$P$305,MATCH(A40,CONG_VIEC!$S$6:$S$305,0))&amp;"","")</f>
        <v/>
      </c>
    </row>
    <row r="41" customFormat="false" ht="15" hidden="false" customHeight="false" outlineLevel="0" collapsed="false">
      <c r="A41" s="24" t="n">
        <v>36</v>
      </c>
      <c r="B41" s="20" t="str">
        <f aca="false">IFERROR(INDEX(CONG_VIEC!$A$6:$A$305,MATCH(A41,CONG_VIEC!$S$6:$S$305,0))&amp;"","")</f>
        <v/>
      </c>
      <c r="C41" s="25" t="str">
        <f aca="false">IFERROR(INDEX(CONG_VIEC!$C$6:$C$305,MATCH(A41,CONG_VIEC!$S$6:$S$305,0))&amp;"","")</f>
        <v/>
      </c>
      <c r="D41" s="20" t="str">
        <f aca="false">IFERROR(INDEX(CONG_VIEC!$D$6:$D$305,MATCH(A41,CONG_VIEC!$S$6:$S$305,0))&amp;"","")</f>
        <v/>
      </c>
      <c r="E41" s="20" t="str">
        <f aca="false">IFERROR(INDEX(CONG_VIEC!$F$6:$F$305,MATCH(A41,CONG_VIEC!$S$6:$S$305,0))&amp;"","")</f>
        <v/>
      </c>
      <c r="F41" s="26" t="str">
        <f aca="false">IFERROR(INDEX(CONG_VIEC!$J$6:$J$305,MATCH(A41,CONG_VIEC!$S$6:$S$305,0)),"")</f>
        <v/>
      </c>
      <c r="G41" s="20" t="str">
        <f aca="false">IFERROR(INDEX(CONG_VIEC!$O$6:$O$305,MATCH(A41,CONG_VIEC!$S$6:$S$305,0)),"")</f>
        <v/>
      </c>
      <c r="H41" s="20" t="str">
        <f aca="false">IFERROR(INDEX(CONG_VIEC!$K$6:$K$305,MATCH(A41,CONG_VIEC!$S$6:$S$305,0))&amp;"","")</f>
        <v/>
      </c>
      <c r="I41" s="21" t="str">
        <f aca="false">IFERROR(INDEX(CONG_VIEC!$P$6:$P$305,MATCH(A41,CONG_VIEC!$S$6:$S$305,0))&amp;"","")</f>
        <v/>
      </c>
    </row>
    <row r="42" customFormat="false" ht="15" hidden="false" customHeight="false" outlineLevel="0" collapsed="false">
      <c r="A42" s="24" t="n">
        <v>37</v>
      </c>
      <c r="B42" s="20" t="str">
        <f aca="false">IFERROR(INDEX(CONG_VIEC!$A$6:$A$305,MATCH(A42,CONG_VIEC!$S$6:$S$305,0))&amp;"","")</f>
        <v/>
      </c>
      <c r="C42" s="25" t="str">
        <f aca="false">IFERROR(INDEX(CONG_VIEC!$C$6:$C$305,MATCH(A42,CONG_VIEC!$S$6:$S$305,0))&amp;"","")</f>
        <v/>
      </c>
      <c r="D42" s="20" t="str">
        <f aca="false">IFERROR(INDEX(CONG_VIEC!$D$6:$D$305,MATCH(A42,CONG_VIEC!$S$6:$S$305,0))&amp;"","")</f>
        <v/>
      </c>
      <c r="E42" s="20" t="str">
        <f aca="false">IFERROR(INDEX(CONG_VIEC!$F$6:$F$305,MATCH(A42,CONG_VIEC!$S$6:$S$305,0))&amp;"","")</f>
        <v/>
      </c>
      <c r="F42" s="26" t="str">
        <f aca="false">IFERROR(INDEX(CONG_VIEC!$J$6:$J$305,MATCH(A42,CONG_VIEC!$S$6:$S$305,0)),"")</f>
        <v/>
      </c>
      <c r="G42" s="20" t="str">
        <f aca="false">IFERROR(INDEX(CONG_VIEC!$O$6:$O$305,MATCH(A42,CONG_VIEC!$S$6:$S$305,0)),"")</f>
        <v/>
      </c>
      <c r="H42" s="20" t="str">
        <f aca="false">IFERROR(INDEX(CONG_VIEC!$K$6:$K$305,MATCH(A42,CONG_VIEC!$S$6:$S$305,0))&amp;"","")</f>
        <v/>
      </c>
      <c r="I42" s="21" t="str">
        <f aca="false">IFERROR(INDEX(CONG_VIEC!$P$6:$P$305,MATCH(A42,CONG_VIEC!$S$6:$S$305,0))&amp;"","")</f>
        <v/>
      </c>
    </row>
    <row r="43" customFormat="false" ht="15" hidden="false" customHeight="false" outlineLevel="0" collapsed="false">
      <c r="A43" s="24" t="n">
        <v>38</v>
      </c>
      <c r="B43" s="20" t="str">
        <f aca="false">IFERROR(INDEX(CONG_VIEC!$A$6:$A$305,MATCH(A43,CONG_VIEC!$S$6:$S$305,0))&amp;"","")</f>
        <v/>
      </c>
      <c r="C43" s="25" t="str">
        <f aca="false">IFERROR(INDEX(CONG_VIEC!$C$6:$C$305,MATCH(A43,CONG_VIEC!$S$6:$S$305,0))&amp;"","")</f>
        <v/>
      </c>
      <c r="D43" s="20" t="str">
        <f aca="false">IFERROR(INDEX(CONG_VIEC!$D$6:$D$305,MATCH(A43,CONG_VIEC!$S$6:$S$305,0))&amp;"","")</f>
        <v/>
      </c>
      <c r="E43" s="20" t="str">
        <f aca="false">IFERROR(INDEX(CONG_VIEC!$F$6:$F$305,MATCH(A43,CONG_VIEC!$S$6:$S$305,0))&amp;"","")</f>
        <v/>
      </c>
      <c r="F43" s="26" t="str">
        <f aca="false">IFERROR(INDEX(CONG_VIEC!$J$6:$J$305,MATCH(A43,CONG_VIEC!$S$6:$S$305,0)),"")</f>
        <v/>
      </c>
      <c r="G43" s="20" t="str">
        <f aca="false">IFERROR(INDEX(CONG_VIEC!$O$6:$O$305,MATCH(A43,CONG_VIEC!$S$6:$S$305,0)),"")</f>
        <v/>
      </c>
      <c r="H43" s="20" t="str">
        <f aca="false">IFERROR(INDEX(CONG_VIEC!$K$6:$K$305,MATCH(A43,CONG_VIEC!$S$6:$S$305,0))&amp;"","")</f>
        <v/>
      </c>
      <c r="I43" s="21" t="str">
        <f aca="false">IFERROR(INDEX(CONG_VIEC!$P$6:$P$305,MATCH(A43,CONG_VIEC!$S$6:$S$305,0))&amp;"","")</f>
        <v/>
      </c>
    </row>
    <row r="44" customFormat="false" ht="15" hidden="false" customHeight="false" outlineLevel="0" collapsed="false">
      <c r="A44" s="24" t="n">
        <v>39</v>
      </c>
      <c r="B44" s="20" t="str">
        <f aca="false">IFERROR(INDEX(CONG_VIEC!$A$6:$A$305,MATCH(A44,CONG_VIEC!$S$6:$S$305,0))&amp;"","")</f>
        <v/>
      </c>
      <c r="C44" s="25" t="str">
        <f aca="false">IFERROR(INDEX(CONG_VIEC!$C$6:$C$305,MATCH(A44,CONG_VIEC!$S$6:$S$305,0))&amp;"","")</f>
        <v/>
      </c>
      <c r="D44" s="20" t="str">
        <f aca="false">IFERROR(INDEX(CONG_VIEC!$D$6:$D$305,MATCH(A44,CONG_VIEC!$S$6:$S$305,0))&amp;"","")</f>
        <v/>
      </c>
      <c r="E44" s="20" t="str">
        <f aca="false">IFERROR(INDEX(CONG_VIEC!$F$6:$F$305,MATCH(A44,CONG_VIEC!$S$6:$S$305,0))&amp;"","")</f>
        <v/>
      </c>
      <c r="F44" s="26" t="str">
        <f aca="false">IFERROR(INDEX(CONG_VIEC!$J$6:$J$305,MATCH(A44,CONG_VIEC!$S$6:$S$305,0)),"")</f>
        <v/>
      </c>
      <c r="G44" s="20" t="str">
        <f aca="false">IFERROR(INDEX(CONG_VIEC!$O$6:$O$305,MATCH(A44,CONG_VIEC!$S$6:$S$305,0)),"")</f>
        <v/>
      </c>
      <c r="H44" s="20" t="str">
        <f aca="false">IFERROR(INDEX(CONG_VIEC!$K$6:$K$305,MATCH(A44,CONG_VIEC!$S$6:$S$305,0))&amp;"","")</f>
        <v/>
      </c>
      <c r="I44" s="21" t="str">
        <f aca="false">IFERROR(INDEX(CONG_VIEC!$P$6:$P$305,MATCH(A44,CONG_VIEC!$S$6:$S$305,0))&amp;"","")</f>
        <v/>
      </c>
    </row>
    <row r="45" customFormat="false" ht="15" hidden="false" customHeight="false" outlineLevel="0" collapsed="false">
      <c r="A45" s="24" t="n">
        <v>40</v>
      </c>
      <c r="B45" s="20" t="str">
        <f aca="false">IFERROR(INDEX(CONG_VIEC!$A$6:$A$305,MATCH(A45,CONG_VIEC!$S$6:$S$305,0))&amp;"","")</f>
        <v/>
      </c>
      <c r="C45" s="25" t="str">
        <f aca="false">IFERROR(INDEX(CONG_VIEC!$C$6:$C$305,MATCH(A45,CONG_VIEC!$S$6:$S$305,0))&amp;"","")</f>
        <v/>
      </c>
      <c r="D45" s="20" t="str">
        <f aca="false">IFERROR(INDEX(CONG_VIEC!$D$6:$D$305,MATCH(A45,CONG_VIEC!$S$6:$S$305,0))&amp;"","")</f>
        <v/>
      </c>
      <c r="E45" s="20" t="str">
        <f aca="false">IFERROR(INDEX(CONG_VIEC!$F$6:$F$305,MATCH(A45,CONG_VIEC!$S$6:$S$305,0))&amp;"","")</f>
        <v/>
      </c>
      <c r="F45" s="26" t="str">
        <f aca="false">IFERROR(INDEX(CONG_VIEC!$J$6:$J$305,MATCH(A45,CONG_VIEC!$S$6:$S$305,0)),"")</f>
        <v/>
      </c>
      <c r="G45" s="20" t="str">
        <f aca="false">IFERROR(INDEX(CONG_VIEC!$O$6:$O$305,MATCH(A45,CONG_VIEC!$S$6:$S$305,0)),"")</f>
        <v/>
      </c>
      <c r="H45" s="20" t="str">
        <f aca="false">IFERROR(INDEX(CONG_VIEC!$K$6:$K$305,MATCH(A45,CONG_VIEC!$S$6:$S$305,0))&amp;"","")</f>
        <v/>
      </c>
      <c r="I45" s="21" t="str">
        <f aca="false">IFERROR(INDEX(CONG_VIEC!$P$6:$P$305,MATCH(A45,CONG_VIEC!$S$6:$S$305,0))&amp;"","")</f>
        <v/>
      </c>
    </row>
    <row r="46" customFormat="false" ht="15" hidden="false" customHeight="false" outlineLevel="0" collapsed="false">
      <c r="A46" s="24" t="n">
        <v>41</v>
      </c>
      <c r="B46" s="20" t="str">
        <f aca="false">IFERROR(INDEX(CONG_VIEC!$A$6:$A$305,MATCH(A46,CONG_VIEC!$S$6:$S$305,0))&amp;"","")</f>
        <v/>
      </c>
      <c r="C46" s="25" t="str">
        <f aca="false">IFERROR(INDEX(CONG_VIEC!$C$6:$C$305,MATCH(A46,CONG_VIEC!$S$6:$S$305,0))&amp;"","")</f>
        <v/>
      </c>
      <c r="D46" s="20" t="str">
        <f aca="false">IFERROR(INDEX(CONG_VIEC!$D$6:$D$305,MATCH(A46,CONG_VIEC!$S$6:$S$305,0))&amp;"","")</f>
        <v/>
      </c>
      <c r="E46" s="20" t="str">
        <f aca="false">IFERROR(INDEX(CONG_VIEC!$F$6:$F$305,MATCH(A46,CONG_VIEC!$S$6:$S$305,0))&amp;"","")</f>
        <v/>
      </c>
      <c r="F46" s="26" t="str">
        <f aca="false">IFERROR(INDEX(CONG_VIEC!$J$6:$J$305,MATCH(A46,CONG_VIEC!$S$6:$S$305,0)),"")</f>
        <v/>
      </c>
      <c r="G46" s="20" t="str">
        <f aca="false">IFERROR(INDEX(CONG_VIEC!$O$6:$O$305,MATCH(A46,CONG_VIEC!$S$6:$S$305,0)),"")</f>
        <v/>
      </c>
      <c r="H46" s="20" t="str">
        <f aca="false">IFERROR(INDEX(CONG_VIEC!$K$6:$K$305,MATCH(A46,CONG_VIEC!$S$6:$S$305,0))&amp;"","")</f>
        <v/>
      </c>
      <c r="I46" s="21" t="str">
        <f aca="false">IFERROR(INDEX(CONG_VIEC!$P$6:$P$305,MATCH(A46,CONG_VIEC!$S$6:$S$305,0))&amp;"","")</f>
        <v/>
      </c>
    </row>
    <row r="47" customFormat="false" ht="15" hidden="false" customHeight="false" outlineLevel="0" collapsed="false">
      <c r="A47" s="24" t="n">
        <v>42</v>
      </c>
      <c r="B47" s="20" t="str">
        <f aca="false">IFERROR(INDEX(CONG_VIEC!$A$6:$A$305,MATCH(A47,CONG_VIEC!$S$6:$S$305,0))&amp;"","")</f>
        <v/>
      </c>
      <c r="C47" s="25" t="str">
        <f aca="false">IFERROR(INDEX(CONG_VIEC!$C$6:$C$305,MATCH(A47,CONG_VIEC!$S$6:$S$305,0))&amp;"","")</f>
        <v/>
      </c>
      <c r="D47" s="20" t="str">
        <f aca="false">IFERROR(INDEX(CONG_VIEC!$D$6:$D$305,MATCH(A47,CONG_VIEC!$S$6:$S$305,0))&amp;"","")</f>
        <v/>
      </c>
      <c r="E47" s="20" t="str">
        <f aca="false">IFERROR(INDEX(CONG_VIEC!$F$6:$F$305,MATCH(A47,CONG_VIEC!$S$6:$S$305,0))&amp;"","")</f>
        <v/>
      </c>
      <c r="F47" s="26" t="str">
        <f aca="false">IFERROR(INDEX(CONG_VIEC!$J$6:$J$305,MATCH(A47,CONG_VIEC!$S$6:$S$305,0)),"")</f>
        <v/>
      </c>
      <c r="G47" s="20" t="str">
        <f aca="false">IFERROR(INDEX(CONG_VIEC!$O$6:$O$305,MATCH(A47,CONG_VIEC!$S$6:$S$305,0)),"")</f>
        <v/>
      </c>
      <c r="H47" s="20" t="str">
        <f aca="false">IFERROR(INDEX(CONG_VIEC!$K$6:$K$305,MATCH(A47,CONG_VIEC!$S$6:$S$305,0))&amp;"","")</f>
        <v/>
      </c>
      <c r="I47" s="21" t="str">
        <f aca="false">IFERROR(INDEX(CONG_VIEC!$P$6:$P$305,MATCH(A47,CONG_VIEC!$S$6:$S$305,0))&amp;"","")</f>
        <v/>
      </c>
    </row>
    <row r="48" customFormat="false" ht="15" hidden="false" customHeight="false" outlineLevel="0" collapsed="false">
      <c r="A48" s="24" t="n">
        <v>43</v>
      </c>
      <c r="B48" s="20" t="str">
        <f aca="false">IFERROR(INDEX(CONG_VIEC!$A$6:$A$305,MATCH(A48,CONG_VIEC!$S$6:$S$305,0))&amp;"","")</f>
        <v/>
      </c>
      <c r="C48" s="25" t="str">
        <f aca="false">IFERROR(INDEX(CONG_VIEC!$C$6:$C$305,MATCH(A48,CONG_VIEC!$S$6:$S$305,0))&amp;"","")</f>
        <v/>
      </c>
      <c r="D48" s="20" t="str">
        <f aca="false">IFERROR(INDEX(CONG_VIEC!$D$6:$D$305,MATCH(A48,CONG_VIEC!$S$6:$S$305,0))&amp;"","")</f>
        <v/>
      </c>
      <c r="E48" s="20" t="str">
        <f aca="false">IFERROR(INDEX(CONG_VIEC!$F$6:$F$305,MATCH(A48,CONG_VIEC!$S$6:$S$305,0))&amp;"","")</f>
        <v/>
      </c>
      <c r="F48" s="26" t="str">
        <f aca="false">IFERROR(INDEX(CONG_VIEC!$J$6:$J$305,MATCH(A48,CONG_VIEC!$S$6:$S$305,0)),"")</f>
        <v/>
      </c>
      <c r="G48" s="20" t="str">
        <f aca="false">IFERROR(INDEX(CONG_VIEC!$O$6:$O$305,MATCH(A48,CONG_VIEC!$S$6:$S$305,0)),"")</f>
        <v/>
      </c>
      <c r="H48" s="20" t="str">
        <f aca="false">IFERROR(INDEX(CONG_VIEC!$K$6:$K$305,MATCH(A48,CONG_VIEC!$S$6:$S$305,0))&amp;"","")</f>
        <v/>
      </c>
      <c r="I48" s="21" t="str">
        <f aca="false">IFERROR(INDEX(CONG_VIEC!$P$6:$P$305,MATCH(A48,CONG_VIEC!$S$6:$S$305,0))&amp;"","")</f>
        <v/>
      </c>
    </row>
    <row r="49" customFormat="false" ht="15" hidden="false" customHeight="false" outlineLevel="0" collapsed="false">
      <c r="A49" s="24" t="n">
        <v>44</v>
      </c>
      <c r="B49" s="20" t="str">
        <f aca="false">IFERROR(INDEX(CONG_VIEC!$A$6:$A$305,MATCH(A49,CONG_VIEC!$S$6:$S$305,0))&amp;"","")</f>
        <v/>
      </c>
      <c r="C49" s="25" t="str">
        <f aca="false">IFERROR(INDEX(CONG_VIEC!$C$6:$C$305,MATCH(A49,CONG_VIEC!$S$6:$S$305,0))&amp;"","")</f>
        <v/>
      </c>
      <c r="D49" s="20" t="str">
        <f aca="false">IFERROR(INDEX(CONG_VIEC!$D$6:$D$305,MATCH(A49,CONG_VIEC!$S$6:$S$305,0))&amp;"","")</f>
        <v/>
      </c>
      <c r="E49" s="20" t="str">
        <f aca="false">IFERROR(INDEX(CONG_VIEC!$F$6:$F$305,MATCH(A49,CONG_VIEC!$S$6:$S$305,0))&amp;"","")</f>
        <v/>
      </c>
      <c r="F49" s="26" t="str">
        <f aca="false">IFERROR(INDEX(CONG_VIEC!$J$6:$J$305,MATCH(A49,CONG_VIEC!$S$6:$S$305,0)),"")</f>
        <v/>
      </c>
      <c r="G49" s="20" t="str">
        <f aca="false">IFERROR(INDEX(CONG_VIEC!$O$6:$O$305,MATCH(A49,CONG_VIEC!$S$6:$S$305,0)),"")</f>
        <v/>
      </c>
      <c r="H49" s="20" t="str">
        <f aca="false">IFERROR(INDEX(CONG_VIEC!$K$6:$K$305,MATCH(A49,CONG_VIEC!$S$6:$S$305,0))&amp;"","")</f>
        <v/>
      </c>
      <c r="I49" s="21" t="str">
        <f aca="false">IFERROR(INDEX(CONG_VIEC!$P$6:$P$305,MATCH(A49,CONG_VIEC!$S$6:$S$305,0))&amp;"","")</f>
        <v/>
      </c>
    </row>
    <row r="50" customFormat="false" ht="15" hidden="false" customHeight="false" outlineLevel="0" collapsed="false">
      <c r="A50" s="24" t="n">
        <v>45</v>
      </c>
      <c r="B50" s="20" t="str">
        <f aca="false">IFERROR(INDEX(CONG_VIEC!$A$6:$A$305,MATCH(A50,CONG_VIEC!$S$6:$S$305,0))&amp;"","")</f>
        <v/>
      </c>
      <c r="C50" s="25" t="str">
        <f aca="false">IFERROR(INDEX(CONG_VIEC!$C$6:$C$305,MATCH(A50,CONG_VIEC!$S$6:$S$305,0))&amp;"","")</f>
        <v/>
      </c>
      <c r="D50" s="20" t="str">
        <f aca="false">IFERROR(INDEX(CONG_VIEC!$D$6:$D$305,MATCH(A50,CONG_VIEC!$S$6:$S$305,0))&amp;"","")</f>
        <v/>
      </c>
      <c r="E50" s="20" t="str">
        <f aca="false">IFERROR(INDEX(CONG_VIEC!$F$6:$F$305,MATCH(A50,CONG_VIEC!$S$6:$S$305,0))&amp;"","")</f>
        <v/>
      </c>
      <c r="F50" s="26" t="str">
        <f aca="false">IFERROR(INDEX(CONG_VIEC!$J$6:$J$305,MATCH(A50,CONG_VIEC!$S$6:$S$305,0)),"")</f>
        <v/>
      </c>
      <c r="G50" s="20" t="str">
        <f aca="false">IFERROR(INDEX(CONG_VIEC!$O$6:$O$305,MATCH(A50,CONG_VIEC!$S$6:$S$305,0)),"")</f>
        <v/>
      </c>
      <c r="H50" s="20" t="str">
        <f aca="false">IFERROR(INDEX(CONG_VIEC!$K$6:$K$305,MATCH(A50,CONG_VIEC!$S$6:$S$305,0))&amp;"","")</f>
        <v/>
      </c>
      <c r="I50" s="21" t="str">
        <f aca="false">IFERROR(INDEX(CONG_VIEC!$P$6:$P$305,MATCH(A50,CONG_VIEC!$S$6:$S$305,0))&amp;"","")</f>
        <v/>
      </c>
    </row>
    <row r="51" customFormat="false" ht="15" hidden="false" customHeight="false" outlineLevel="0" collapsed="false">
      <c r="A51" s="24" t="n">
        <v>46</v>
      </c>
      <c r="B51" s="20" t="str">
        <f aca="false">IFERROR(INDEX(CONG_VIEC!$A$6:$A$305,MATCH(A51,CONG_VIEC!$S$6:$S$305,0))&amp;"","")</f>
        <v/>
      </c>
      <c r="C51" s="25" t="str">
        <f aca="false">IFERROR(INDEX(CONG_VIEC!$C$6:$C$305,MATCH(A51,CONG_VIEC!$S$6:$S$305,0))&amp;"","")</f>
        <v/>
      </c>
      <c r="D51" s="20" t="str">
        <f aca="false">IFERROR(INDEX(CONG_VIEC!$D$6:$D$305,MATCH(A51,CONG_VIEC!$S$6:$S$305,0))&amp;"","")</f>
        <v/>
      </c>
      <c r="E51" s="20" t="str">
        <f aca="false">IFERROR(INDEX(CONG_VIEC!$F$6:$F$305,MATCH(A51,CONG_VIEC!$S$6:$S$305,0))&amp;"","")</f>
        <v/>
      </c>
      <c r="F51" s="26" t="str">
        <f aca="false">IFERROR(INDEX(CONG_VIEC!$J$6:$J$305,MATCH(A51,CONG_VIEC!$S$6:$S$305,0)),"")</f>
        <v/>
      </c>
      <c r="G51" s="20" t="str">
        <f aca="false">IFERROR(INDEX(CONG_VIEC!$O$6:$O$305,MATCH(A51,CONG_VIEC!$S$6:$S$305,0)),"")</f>
        <v/>
      </c>
      <c r="H51" s="20" t="str">
        <f aca="false">IFERROR(INDEX(CONG_VIEC!$K$6:$K$305,MATCH(A51,CONG_VIEC!$S$6:$S$305,0))&amp;"","")</f>
        <v/>
      </c>
      <c r="I51" s="21" t="str">
        <f aca="false">IFERROR(INDEX(CONG_VIEC!$P$6:$P$305,MATCH(A51,CONG_VIEC!$S$6:$S$305,0))&amp;"","")</f>
        <v/>
      </c>
    </row>
    <row r="52" customFormat="false" ht="15" hidden="false" customHeight="false" outlineLevel="0" collapsed="false">
      <c r="A52" s="24" t="n">
        <v>47</v>
      </c>
      <c r="B52" s="20" t="str">
        <f aca="false">IFERROR(INDEX(CONG_VIEC!$A$6:$A$305,MATCH(A52,CONG_VIEC!$S$6:$S$305,0))&amp;"","")</f>
        <v/>
      </c>
      <c r="C52" s="25" t="str">
        <f aca="false">IFERROR(INDEX(CONG_VIEC!$C$6:$C$305,MATCH(A52,CONG_VIEC!$S$6:$S$305,0))&amp;"","")</f>
        <v/>
      </c>
      <c r="D52" s="20" t="str">
        <f aca="false">IFERROR(INDEX(CONG_VIEC!$D$6:$D$305,MATCH(A52,CONG_VIEC!$S$6:$S$305,0))&amp;"","")</f>
        <v/>
      </c>
      <c r="E52" s="20" t="str">
        <f aca="false">IFERROR(INDEX(CONG_VIEC!$F$6:$F$305,MATCH(A52,CONG_VIEC!$S$6:$S$305,0))&amp;"","")</f>
        <v/>
      </c>
      <c r="F52" s="26" t="str">
        <f aca="false">IFERROR(INDEX(CONG_VIEC!$J$6:$J$305,MATCH(A52,CONG_VIEC!$S$6:$S$305,0)),"")</f>
        <v/>
      </c>
      <c r="G52" s="20" t="str">
        <f aca="false">IFERROR(INDEX(CONG_VIEC!$O$6:$O$305,MATCH(A52,CONG_VIEC!$S$6:$S$305,0)),"")</f>
        <v/>
      </c>
      <c r="H52" s="20" t="str">
        <f aca="false">IFERROR(INDEX(CONG_VIEC!$K$6:$K$305,MATCH(A52,CONG_VIEC!$S$6:$S$305,0))&amp;"","")</f>
        <v/>
      </c>
      <c r="I52" s="21" t="str">
        <f aca="false">IFERROR(INDEX(CONG_VIEC!$P$6:$P$305,MATCH(A52,CONG_VIEC!$S$6:$S$305,0))&amp;"","")</f>
        <v/>
      </c>
    </row>
    <row r="53" customFormat="false" ht="15" hidden="false" customHeight="false" outlineLevel="0" collapsed="false">
      <c r="A53" s="24" t="n">
        <v>48</v>
      </c>
      <c r="B53" s="20" t="str">
        <f aca="false">IFERROR(INDEX(CONG_VIEC!$A$6:$A$305,MATCH(A53,CONG_VIEC!$S$6:$S$305,0))&amp;"","")</f>
        <v/>
      </c>
      <c r="C53" s="25" t="str">
        <f aca="false">IFERROR(INDEX(CONG_VIEC!$C$6:$C$305,MATCH(A53,CONG_VIEC!$S$6:$S$305,0))&amp;"","")</f>
        <v/>
      </c>
      <c r="D53" s="20" t="str">
        <f aca="false">IFERROR(INDEX(CONG_VIEC!$D$6:$D$305,MATCH(A53,CONG_VIEC!$S$6:$S$305,0))&amp;"","")</f>
        <v/>
      </c>
      <c r="E53" s="20" t="str">
        <f aca="false">IFERROR(INDEX(CONG_VIEC!$F$6:$F$305,MATCH(A53,CONG_VIEC!$S$6:$S$305,0))&amp;"","")</f>
        <v/>
      </c>
      <c r="F53" s="26" t="str">
        <f aca="false">IFERROR(INDEX(CONG_VIEC!$J$6:$J$305,MATCH(A53,CONG_VIEC!$S$6:$S$305,0)),"")</f>
        <v/>
      </c>
      <c r="G53" s="20" t="str">
        <f aca="false">IFERROR(INDEX(CONG_VIEC!$O$6:$O$305,MATCH(A53,CONG_VIEC!$S$6:$S$305,0)),"")</f>
        <v/>
      </c>
      <c r="H53" s="20" t="str">
        <f aca="false">IFERROR(INDEX(CONG_VIEC!$K$6:$K$305,MATCH(A53,CONG_VIEC!$S$6:$S$305,0))&amp;"","")</f>
        <v/>
      </c>
      <c r="I53" s="21" t="str">
        <f aca="false">IFERROR(INDEX(CONG_VIEC!$P$6:$P$305,MATCH(A53,CONG_VIEC!$S$6:$S$305,0))&amp;"","")</f>
        <v/>
      </c>
    </row>
    <row r="54" customFormat="false" ht="15" hidden="false" customHeight="false" outlineLevel="0" collapsed="false">
      <c r="A54" s="24" t="n">
        <v>49</v>
      </c>
      <c r="B54" s="20" t="str">
        <f aca="false">IFERROR(INDEX(CONG_VIEC!$A$6:$A$305,MATCH(A54,CONG_VIEC!$S$6:$S$305,0))&amp;"","")</f>
        <v/>
      </c>
      <c r="C54" s="25" t="str">
        <f aca="false">IFERROR(INDEX(CONG_VIEC!$C$6:$C$305,MATCH(A54,CONG_VIEC!$S$6:$S$305,0))&amp;"","")</f>
        <v/>
      </c>
      <c r="D54" s="20" t="str">
        <f aca="false">IFERROR(INDEX(CONG_VIEC!$D$6:$D$305,MATCH(A54,CONG_VIEC!$S$6:$S$305,0))&amp;"","")</f>
        <v/>
      </c>
      <c r="E54" s="20" t="str">
        <f aca="false">IFERROR(INDEX(CONG_VIEC!$F$6:$F$305,MATCH(A54,CONG_VIEC!$S$6:$S$305,0))&amp;"","")</f>
        <v/>
      </c>
      <c r="F54" s="26" t="str">
        <f aca="false">IFERROR(INDEX(CONG_VIEC!$J$6:$J$305,MATCH(A54,CONG_VIEC!$S$6:$S$305,0)),"")</f>
        <v/>
      </c>
      <c r="G54" s="20" t="str">
        <f aca="false">IFERROR(INDEX(CONG_VIEC!$O$6:$O$305,MATCH(A54,CONG_VIEC!$S$6:$S$305,0)),"")</f>
        <v/>
      </c>
      <c r="H54" s="20" t="str">
        <f aca="false">IFERROR(INDEX(CONG_VIEC!$K$6:$K$305,MATCH(A54,CONG_VIEC!$S$6:$S$305,0))&amp;"","")</f>
        <v/>
      </c>
      <c r="I54" s="21" t="str">
        <f aca="false">IFERROR(INDEX(CONG_VIEC!$P$6:$P$305,MATCH(A54,CONG_VIEC!$S$6:$S$305,0))&amp;"","")</f>
        <v/>
      </c>
    </row>
    <row r="55" customFormat="false" ht="15" hidden="false" customHeight="false" outlineLevel="0" collapsed="false">
      <c r="A55" s="24" t="n">
        <v>50</v>
      </c>
      <c r="B55" s="20" t="str">
        <f aca="false">IFERROR(INDEX(CONG_VIEC!$A$6:$A$305,MATCH(A55,CONG_VIEC!$S$6:$S$305,0))&amp;"","")</f>
        <v/>
      </c>
      <c r="C55" s="25" t="str">
        <f aca="false">IFERROR(INDEX(CONG_VIEC!$C$6:$C$305,MATCH(A55,CONG_VIEC!$S$6:$S$305,0))&amp;"","")</f>
        <v/>
      </c>
      <c r="D55" s="20" t="str">
        <f aca="false">IFERROR(INDEX(CONG_VIEC!$D$6:$D$305,MATCH(A55,CONG_VIEC!$S$6:$S$305,0))&amp;"","")</f>
        <v/>
      </c>
      <c r="E55" s="20" t="str">
        <f aca="false">IFERROR(INDEX(CONG_VIEC!$F$6:$F$305,MATCH(A55,CONG_VIEC!$S$6:$S$305,0))&amp;"","")</f>
        <v/>
      </c>
      <c r="F55" s="26" t="str">
        <f aca="false">IFERROR(INDEX(CONG_VIEC!$J$6:$J$305,MATCH(A55,CONG_VIEC!$S$6:$S$305,0)),"")</f>
        <v/>
      </c>
      <c r="G55" s="20" t="str">
        <f aca="false">IFERROR(INDEX(CONG_VIEC!$O$6:$O$305,MATCH(A55,CONG_VIEC!$S$6:$S$305,0)),"")</f>
        <v/>
      </c>
      <c r="H55" s="20" t="str">
        <f aca="false">IFERROR(INDEX(CONG_VIEC!$K$6:$K$305,MATCH(A55,CONG_VIEC!$S$6:$S$305,0))&amp;"","")</f>
        <v/>
      </c>
      <c r="I55" s="21" t="str">
        <f aca="false">IFERROR(INDEX(CONG_VIEC!$P$6:$P$305,MATCH(A55,CONG_VIEC!$S$6:$S$305,0))&amp;"","")</f>
        <v/>
      </c>
    </row>
    <row r="56" customFormat="false" ht="15" hidden="false" customHeight="false" outlineLevel="0" collapsed="false">
      <c r="A56" s="24" t="n">
        <v>51</v>
      </c>
      <c r="B56" s="20" t="str">
        <f aca="false">IFERROR(INDEX(CONG_VIEC!$A$6:$A$305,MATCH(A56,CONG_VIEC!$S$6:$S$305,0))&amp;"","")</f>
        <v/>
      </c>
      <c r="C56" s="25" t="str">
        <f aca="false">IFERROR(INDEX(CONG_VIEC!$C$6:$C$305,MATCH(A56,CONG_VIEC!$S$6:$S$305,0))&amp;"","")</f>
        <v/>
      </c>
      <c r="D56" s="20" t="str">
        <f aca="false">IFERROR(INDEX(CONG_VIEC!$D$6:$D$305,MATCH(A56,CONG_VIEC!$S$6:$S$305,0))&amp;"","")</f>
        <v/>
      </c>
      <c r="E56" s="20" t="str">
        <f aca="false">IFERROR(INDEX(CONG_VIEC!$F$6:$F$305,MATCH(A56,CONG_VIEC!$S$6:$S$305,0))&amp;"","")</f>
        <v/>
      </c>
      <c r="F56" s="26" t="str">
        <f aca="false">IFERROR(INDEX(CONG_VIEC!$J$6:$J$305,MATCH(A56,CONG_VIEC!$S$6:$S$305,0)),"")</f>
        <v/>
      </c>
      <c r="G56" s="20" t="str">
        <f aca="false">IFERROR(INDEX(CONG_VIEC!$O$6:$O$305,MATCH(A56,CONG_VIEC!$S$6:$S$305,0)),"")</f>
        <v/>
      </c>
      <c r="H56" s="20" t="str">
        <f aca="false">IFERROR(INDEX(CONG_VIEC!$K$6:$K$305,MATCH(A56,CONG_VIEC!$S$6:$S$305,0))&amp;"","")</f>
        <v/>
      </c>
      <c r="I56" s="21" t="str">
        <f aca="false">IFERROR(INDEX(CONG_VIEC!$P$6:$P$305,MATCH(A56,CONG_VIEC!$S$6:$S$305,0))&amp;"","")</f>
        <v/>
      </c>
    </row>
    <row r="57" customFormat="false" ht="15" hidden="false" customHeight="false" outlineLevel="0" collapsed="false">
      <c r="A57" s="24" t="n">
        <v>52</v>
      </c>
      <c r="B57" s="20" t="str">
        <f aca="false">IFERROR(INDEX(CONG_VIEC!$A$6:$A$305,MATCH(A57,CONG_VIEC!$S$6:$S$305,0))&amp;"","")</f>
        <v/>
      </c>
      <c r="C57" s="25" t="str">
        <f aca="false">IFERROR(INDEX(CONG_VIEC!$C$6:$C$305,MATCH(A57,CONG_VIEC!$S$6:$S$305,0))&amp;"","")</f>
        <v/>
      </c>
      <c r="D57" s="20" t="str">
        <f aca="false">IFERROR(INDEX(CONG_VIEC!$D$6:$D$305,MATCH(A57,CONG_VIEC!$S$6:$S$305,0))&amp;"","")</f>
        <v/>
      </c>
      <c r="E57" s="20" t="str">
        <f aca="false">IFERROR(INDEX(CONG_VIEC!$F$6:$F$305,MATCH(A57,CONG_VIEC!$S$6:$S$305,0))&amp;"","")</f>
        <v/>
      </c>
      <c r="F57" s="26" t="str">
        <f aca="false">IFERROR(INDEX(CONG_VIEC!$J$6:$J$305,MATCH(A57,CONG_VIEC!$S$6:$S$305,0)),"")</f>
        <v/>
      </c>
      <c r="G57" s="20" t="str">
        <f aca="false">IFERROR(INDEX(CONG_VIEC!$O$6:$O$305,MATCH(A57,CONG_VIEC!$S$6:$S$305,0)),"")</f>
        <v/>
      </c>
      <c r="H57" s="20" t="str">
        <f aca="false">IFERROR(INDEX(CONG_VIEC!$K$6:$K$305,MATCH(A57,CONG_VIEC!$S$6:$S$305,0))&amp;"","")</f>
        <v/>
      </c>
      <c r="I57" s="21" t="str">
        <f aca="false">IFERROR(INDEX(CONG_VIEC!$P$6:$P$305,MATCH(A57,CONG_VIEC!$S$6:$S$305,0))&amp;"","")</f>
        <v/>
      </c>
    </row>
    <row r="58" customFormat="false" ht="15" hidden="false" customHeight="false" outlineLevel="0" collapsed="false">
      <c r="A58" s="24" t="n">
        <v>53</v>
      </c>
      <c r="B58" s="20" t="str">
        <f aca="false">IFERROR(INDEX(CONG_VIEC!$A$6:$A$305,MATCH(A58,CONG_VIEC!$S$6:$S$305,0))&amp;"","")</f>
        <v/>
      </c>
      <c r="C58" s="25" t="str">
        <f aca="false">IFERROR(INDEX(CONG_VIEC!$C$6:$C$305,MATCH(A58,CONG_VIEC!$S$6:$S$305,0))&amp;"","")</f>
        <v/>
      </c>
      <c r="D58" s="20" t="str">
        <f aca="false">IFERROR(INDEX(CONG_VIEC!$D$6:$D$305,MATCH(A58,CONG_VIEC!$S$6:$S$305,0))&amp;"","")</f>
        <v/>
      </c>
      <c r="E58" s="20" t="str">
        <f aca="false">IFERROR(INDEX(CONG_VIEC!$F$6:$F$305,MATCH(A58,CONG_VIEC!$S$6:$S$305,0))&amp;"","")</f>
        <v/>
      </c>
      <c r="F58" s="26" t="str">
        <f aca="false">IFERROR(INDEX(CONG_VIEC!$J$6:$J$305,MATCH(A58,CONG_VIEC!$S$6:$S$305,0)),"")</f>
        <v/>
      </c>
      <c r="G58" s="20" t="str">
        <f aca="false">IFERROR(INDEX(CONG_VIEC!$O$6:$O$305,MATCH(A58,CONG_VIEC!$S$6:$S$305,0)),"")</f>
        <v/>
      </c>
      <c r="H58" s="20" t="str">
        <f aca="false">IFERROR(INDEX(CONG_VIEC!$K$6:$K$305,MATCH(A58,CONG_VIEC!$S$6:$S$305,0))&amp;"","")</f>
        <v/>
      </c>
      <c r="I58" s="21" t="str">
        <f aca="false">IFERROR(INDEX(CONG_VIEC!$P$6:$P$305,MATCH(A58,CONG_VIEC!$S$6:$S$305,0))&amp;"","")</f>
        <v/>
      </c>
    </row>
    <row r="59" customFormat="false" ht="15" hidden="false" customHeight="false" outlineLevel="0" collapsed="false">
      <c r="A59" s="24" t="n">
        <v>54</v>
      </c>
      <c r="B59" s="20" t="str">
        <f aca="false">IFERROR(INDEX(CONG_VIEC!$A$6:$A$305,MATCH(A59,CONG_VIEC!$S$6:$S$305,0))&amp;"","")</f>
        <v/>
      </c>
      <c r="C59" s="25" t="str">
        <f aca="false">IFERROR(INDEX(CONG_VIEC!$C$6:$C$305,MATCH(A59,CONG_VIEC!$S$6:$S$305,0))&amp;"","")</f>
        <v/>
      </c>
      <c r="D59" s="20" t="str">
        <f aca="false">IFERROR(INDEX(CONG_VIEC!$D$6:$D$305,MATCH(A59,CONG_VIEC!$S$6:$S$305,0))&amp;"","")</f>
        <v/>
      </c>
      <c r="E59" s="20" t="str">
        <f aca="false">IFERROR(INDEX(CONG_VIEC!$F$6:$F$305,MATCH(A59,CONG_VIEC!$S$6:$S$305,0))&amp;"","")</f>
        <v/>
      </c>
      <c r="F59" s="26" t="str">
        <f aca="false">IFERROR(INDEX(CONG_VIEC!$J$6:$J$305,MATCH(A59,CONG_VIEC!$S$6:$S$305,0)),"")</f>
        <v/>
      </c>
      <c r="G59" s="20" t="str">
        <f aca="false">IFERROR(INDEX(CONG_VIEC!$O$6:$O$305,MATCH(A59,CONG_VIEC!$S$6:$S$305,0)),"")</f>
        <v/>
      </c>
      <c r="H59" s="20" t="str">
        <f aca="false">IFERROR(INDEX(CONG_VIEC!$K$6:$K$305,MATCH(A59,CONG_VIEC!$S$6:$S$305,0))&amp;"","")</f>
        <v/>
      </c>
      <c r="I59" s="21" t="str">
        <f aca="false">IFERROR(INDEX(CONG_VIEC!$P$6:$P$305,MATCH(A59,CONG_VIEC!$S$6:$S$305,0))&amp;"","")</f>
        <v/>
      </c>
    </row>
    <row r="60" customFormat="false" ht="15" hidden="false" customHeight="false" outlineLevel="0" collapsed="false">
      <c r="A60" s="24" t="n">
        <v>55</v>
      </c>
      <c r="B60" s="20" t="str">
        <f aca="false">IFERROR(INDEX(CONG_VIEC!$A$6:$A$305,MATCH(A60,CONG_VIEC!$S$6:$S$305,0))&amp;"","")</f>
        <v/>
      </c>
      <c r="C60" s="25" t="str">
        <f aca="false">IFERROR(INDEX(CONG_VIEC!$C$6:$C$305,MATCH(A60,CONG_VIEC!$S$6:$S$305,0))&amp;"","")</f>
        <v/>
      </c>
      <c r="D60" s="20" t="str">
        <f aca="false">IFERROR(INDEX(CONG_VIEC!$D$6:$D$305,MATCH(A60,CONG_VIEC!$S$6:$S$305,0))&amp;"","")</f>
        <v/>
      </c>
      <c r="E60" s="20" t="str">
        <f aca="false">IFERROR(INDEX(CONG_VIEC!$F$6:$F$305,MATCH(A60,CONG_VIEC!$S$6:$S$305,0))&amp;"","")</f>
        <v/>
      </c>
      <c r="F60" s="26" t="str">
        <f aca="false">IFERROR(INDEX(CONG_VIEC!$J$6:$J$305,MATCH(A60,CONG_VIEC!$S$6:$S$305,0)),"")</f>
        <v/>
      </c>
      <c r="G60" s="20" t="str">
        <f aca="false">IFERROR(INDEX(CONG_VIEC!$O$6:$O$305,MATCH(A60,CONG_VIEC!$S$6:$S$305,0)),"")</f>
        <v/>
      </c>
      <c r="H60" s="20" t="str">
        <f aca="false">IFERROR(INDEX(CONG_VIEC!$K$6:$K$305,MATCH(A60,CONG_VIEC!$S$6:$S$305,0))&amp;"","")</f>
        <v/>
      </c>
      <c r="I60" s="21" t="str">
        <f aca="false">IFERROR(INDEX(CONG_VIEC!$P$6:$P$305,MATCH(A60,CONG_VIEC!$S$6:$S$305,0))&amp;"","")</f>
        <v/>
      </c>
    </row>
    <row r="61" customFormat="false" ht="15" hidden="false" customHeight="false" outlineLevel="0" collapsed="false">
      <c r="A61" s="24" t="n">
        <v>56</v>
      </c>
      <c r="B61" s="20" t="str">
        <f aca="false">IFERROR(INDEX(CONG_VIEC!$A$6:$A$305,MATCH(A61,CONG_VIEC!$S$6:$S$305,0))&amp;"","")</f>
        <v/>
      </c>
      <c r="C61" s="25" t="str">
        <f aca="false">IFERROR(INDEX(CONG_VIEC!$C$6:$C$305,MATCH(A61,CONG_VIEC!$S$6:$S$305,0))&amp;"","")</f>
        <v/>
      </c>
      <c r="D61" s="20" t="str">
        <f aca="false">IFERROR(INDEX(CONG_VIEC!$D$6:$D$305,MATCH(A61,CONG_VIEC!$S$6:$S$305,0))&amp;"","")</f>
        <v/>
      </c>
      <c r="E61" s="20" t="str">
        <f aca="false">IFERROR(INDEX(CONG_VIEC!$F$6:$F$305,MATCH(A61,CONG_VIEC!$S$6:$S$305,0))&amp;"","")</f>
        <v/>
      </c>
      <c r="F61" s="26" t="str">
        <f aca="false">IFERROR(INDEX(CONG_VIEC!$J$6:$J$305,MATCH(A61,CONG_VIEC!$S$6:$S$305,0)),"")</f>
        <v/>
      </c>
      <c r="G61" s="20" t="str">
        <f aca="false">IFERROR(INDEX(CONG_VIEC!$O$6:$O$305,MATCH(A61,CONG_VIEC!$S$6:$S$305,0)),"")</f>
        <v/>
      </c>
      <c r="H61" s="20" t="str">
        <f aca="false">IFERROR(INDEX(CONG_VIEC!$K$6:$K$305,MATCH(A61,CONG_VIEC!$S$6:$S$305,0))&amp;"","")</f>
        <v/>
      </c>
      <c r="I61" s="21" t="str">
        <f aca="false">IFERROR(INDEX(CONG_VIEC!$P$6:$P$305,MATCH(A61,CONG_VIEC!$S$6:$S$305,0))&amp;"","")</f>
        <v/>
      </c>
    </row>
    <row r="62" customFormat="false" ht="15" hidden="false" customHeight="false" outlineLevel="0" collapsed="false">
      <c r="A62" s="24" t="n">
        <v>57</v>
      </c>
      <c r="B62" s="20" t="str">
        <f aca="false">IFERROR(INDEX(CONG_VIEC!$A$6:$A$305,MATCH(A62,CONG_VIEC!$S$6:$S$305,0))&amp;"","")</f>
        <v/>
      </c>
      <c r="C62" s="25" t="str">
        <f aca="false">IFERROR(INDEX(CONG_VIEC!$C$6:$C$305,MATCH(A62,CONG_VIEC!$S$6:$S$305,0))&amp;"","")</f>
        <v/>
      </c>
      <c r="D62" s="20" t="str">
        <f aca="false">IFERROR(INDEX(CONG_VIEC!$D$6:$D$305,MATCH(A62,CONG_VIEC!$S$6:$S$305,0))&amp;"","")</f>
        <v/>
      </c>
      <c r="E62" s="20" t="str">
        <f aca="false">IFERROR(INDEX(CONG_VIEC!$F$6:$F$305,MATCH(A62,CONG_VIEC!$S$6:$S$305,0))&amp;"","")</f>
        <v/>
      </c>
      <c r="F62" s="26" t="str">
        <f aca="false">IFERROR(INDEX(CONG_VIEC!$J$6:$J$305,MATCH(A62,CONG_VIEC!$S$6:$S$305,0)),"")</f>
        <v/>
      </c>
      <c r="G62" s="20" t="str">
        <f aca="false">IFERROR(INDEX(CONG_VIEC!$O$6:$O$305,MATCH(A62,CONG_VIEC!$S$6:$S$305,0)),"")</f>
        <v/>
      </c>
      <c r="H62" s="20" t="str">
        <f aca="false">IFERROR(INDEX(CONG_VIEC!$K$6:$K$305,MATCH(A62,CONG_VIEC!$S$6:$S$305,0))&amp;"","")</f>
        <v/>
      </c>
      <c r="I62" s="21" t="str">
        <f aca="false">IFERROR(INDEX(CONG_VIEC!$P$6:$P$305,MATCH(A62,CONG_VIEC!$S$6:$S$305,0))&amp;"","")</f>
        <v/>
      </c>
    </row>
    <row r="63" customFormat="false" ht="15" hidden="false" customHeight="false" outlineLevel="0" collapsed="false">
      <c r="A63" s="24" t="n">
        <v>58</v>
      </c>
      <c r="B63" s="20" t="str">
        <f aca="false">IFERROR(INDEX(CONG_VIEC!$A$6:$A$305,MATCH(A63,CONG_VIEC!$S$6:$S$305,0))&amp;"","")</f>
        <v/>
      </c>
      <c r="C63" s="25" t="str">
        <f aca="false">IFERROR(INDEX(CONG_VIEC!$C$6:$C$305,MATCH(A63,CONG_VIEC!$S$6:$S$305,0))&amp;"","")</f>
        <v/>
      </c>
      <c r="D63" s="20" t="str">
        <f aca="false">IFERROR(INDEX(CONG_VIEC!$D$6:$D$305,MATCH(A63,CONG_VIEC!$S$6:$S$305,0))&amp;"","")</f>
        <v/>
      </c>
      <c r="E63" s="20" t="str">
        <f aca="false">IFERROR(INDEX(CONG_VIEC!$F$6:$F$305,MATCH(A63,CONG_VIEC!$S$6:$S$305,0))&amp;"","")</f>
        <v/>
      </c>
      <c r="F63" s="26" t="str">
        <f aca="false">IFERROR(INDEX(CONG_VIEC!$J$6:$J$305,MATCH(A63,CONG_VIEC!$S$6:$S$305,0)),"")</f>
        <v/>
      </c>
      <c r="G63" s="20" t="str">
        <f aca="false">IFERROR(INDEX(CONG_VIEC!$O$6:$O$305,MATCH(A63,CONG_VIEC!$S$6:$S$305,0)),"")</f>
        <v/>
      </c>
      <c r="H63" s="20" t="str">
        <f aca="false">IFERROR(INDEX(CONG_VIEC!$K$6:$K$305,MATCH(A63,CONG_VIEC!$S$6:$S$305,0))&amp;"","")</f>
        <v/>
      </c>
      <c r="I63" s="21" t="str">
        <f aca="false">IFERROR(INDEX(CONG_VIEC!$P$6:$P$305,MATCH(A63,CONG_VIEC!$S$6:$S$305,0))&amp;"","")</f>
        <v/>
      </c>
    </row>
    <row r="64" customFormat="false" ht="15" hidden="false" customHeight="false" outlineLevel="0" collapsed="false">
      <c r="A64" s="24" t="n">
        <v>59</v>
      </c>
      <c r="B64" s="20" t="str">
        <f aca="false">IFERROR(INDEX(CONG_VIEC!$A$6:$A$305,MATCH(A64,CONG_VIEC!$S$6:$S$305,0))&amp;"","")</f>
        <v/>
      </c>
      <c r="C64" s="25" t="str">
        <f aca="false">IFERROR(INDEX(CONG_VIEC!$C$6:$C$305,MATCH(A64,CONG_VIEC!$S$6:$S$305,0))&amp;"","")</f>
        <v/>
      </c>
      <c r="D64" s="20" t="str">
        <f aca="false">IFERROR(INDEX(CONG_VIEC!$D$6:$D$305,MATCH(A64,CONG_VIEC!$S$6:$S$305,0))&amp;"","")</f>
        <v/>
      </c>
      <c r="E64" s="20" t="str">
        <f aca="false">IFERROR(INDEX(CONG_VIEC!$F$6:$F$305,MATCH(A64,CONG_VIEC!$S$6:$S$305,0))&amp;"","")</f>
        <v/>
      </c>
      <c r="F64" s="26" t="str">
        <f aca="false">IFERROR(INDEX(CONG_VIEC!$J$6:$J$305,MATCH(A64,CONG_VIEC!$S$6:$S$305,0)),"")</f>
        <v/>
      </c>
      <c r="G64" s="20" t="str">
        <f aca="false">IFERROR(INDEX(CONG_VIEC!$O$6:$O$305,MATCH(A64,CONG_VIEC!$S$6:$S$305,0)),"")</f>
        <v/>
      </c>
      <c r="H64" s="20" t="str">
        <f aca="false">IFERROR(INDEX(CONG_VIEC!$K$6:$K$305,MATCH(A64,CONG_VIEC!$S$6:$S$305,0))&amp;"","")</f>
        <v/>
      </c>
      <c r="I64" s="21" t="str">
        <f aca="false">IFERROR(INDEX(CONG_VIEC!$P$6:$P$305,MATCH(A64,CONG_VIEC!$S$6:$S$305,0))&amp;"","")</f>
        <v/>
      </c>
    </row>
    <row r="65" customFormat="false" ht="15" hidden="false" customHeight="false" outlineLevel="0" collapsed="false">
      <c r="A65" s="24" t="n">
        <v>60</v>
      </c>
      <c r="B65" s="20" t="str">
        <f aca="false">IFERROR(INDEX(CONG_VIEC!$A$6:$A$305,MATCH(A65,CONG_VIEC!$S$6:$S$305,0))&amp;"","")</f>
        <v/>
      </c>
      <c r="C65" s="25" t="str">
        <f aca="false">IFERROR(INDEX(CONG_VIEC!$C$6:$C$305,MATCH(A65,CONG_VIEC!$S$6:$S$305,0))&amp;"","")</f>
        <v/>
      </c>
      <c r="D65" s="20" t="str">
        <f aca="false">IFERROR(INDEX(CONG_VIEC!$D$6:$D$305,MATCH(A65,CONG_VIEC!$S$6:$S$305,0))&amp;"","")</f>
        <v/>
      </c>
      <c r="E65" s="20" t="str">
        <f aca="false">IFERROR(INDEX(CONG_VIEC!$F$6:$F$305,MATCH(A65,CONG_VIEC!$S$6:$S$305,0))&amp;"","")</f>
        <v/>
      </c>
      <c r="F65" s="26" t="str">
        <f aca="false">IFERROR(INDEX(CONG_VIEC!$J$6:$J$305,MATCH(A65,CONG_VIEC!$S$6:$S$305,0)),"")</f>
        <v/>
      </c>
      <c r="G65" s="20" t="str">
        <f aca="false">IFERROR(INDEX(CONG_VIEC!$O$6:$O$305,MATCH(A65,CONG_VIEC!$S$6:$S$305,0)),"")</f>
        <v/>
      </c>
      <c r="H65" s="20" t="str">
        <f aca="false">IFERROR(INDEX(CONG_VIEC!$K$6:$K$305,MATCH(A65,CONG_VIEC!$S$6:$S$305,0))&amp;"","")</f>
        <v/>
      </c>
      <c r="I65" s="21" t="str">
        <f aca="false">IFERROR(INDEX(CONG_VIEC!$P$6:$P$305,MATCH(A65,CONG_VIEC!$S$6:$S$305,0))&amp;"","")</f>
        <v/>
      </c>
    </row>
    <row r="66" customFormat="false" ht="15" hidden="false" customHeight="false" outlineLevel="0" collapsed="false">
      <c r="A66" s="24" t="n">
        <v>61</v>
      </c>
      <c r="B66" s="20" t="str">
        <f aca="false">IFERROR(INDEX(CONG_VIEC!$A$6:$A$305,MATCH(A66,CONG_VIEC!$S$6:$S$305,0))&amp;"","")</f>
        <v/>
      </c>
      <c r="C66" s="25" t="str">
        <f aca="false">IFERROR(INDEX(CONG_VIEC!$C$6:$C$305,MATCH(A66,CONG_VIEC!$S$6:$S$305,0))&amp;"","")</f>
        <v/>
      </c>
      <c r="D66" s="20" t="str">
        <f aca="false">IFERROR(INDEX(CONG_VIEC!$D$6:$D$305,MATCH(A66,CONG_VIEC!$S$6:$S$305,0))&amp;"","")</f>
        <v/>
      </c>
      <c r="E66" s="20" t="str">
        <f aca="false">IFERROR(INDEX(CONG_VIEC!$F$6:$F$305,MATCH(A66,CONG_VIEC!$S$6:$S$305,0))&amp;"","")</f>
        <v/>
      </c>
      <c r="F66" s="26" t="str">
        <f aca="false">IFERROR(INDEX(CONG_VIEC!$J$6:$J$305,MATCH(A66,CONG_VIEC!$S$6:$S$305,0)),"")</f>
        <v/>
      </c>
      <c r="G66" s="20" t="str">
        <f aca="false">IFERROR(INDEX(CONG_VIEC!$O$6:$O$305,MATCH(A66,CONG_VIEC!$S$6:$S$305,0)),"")</f>
        <v/>
      </c>
      <c r="H66" s="20" t="str">
        <f aca="false">IFERROR(INDEX(CONG_VIEC!$K$6:$K$305,MATCH(A66,CONG_VIEC!$S$6:$S$305,0))&amp;"","")</f>
        <v/>
      </c>
      <c r="I66" s="21" t="str">
        <f aca="false">IFERROR(INDEX(CONG_VIEC!$P$6:$P$305,MATCH(A66,CONG_VIEC!$S$6:$S$305,0))&amp;"","")</f>
        <v/>
      </c>
    </row>
    <row r="67" customFormat="false" ht="15" hidden="false" customHeight="false" outlineLevel="0" collapsed="false">
      <c r="A67" s="24" t="n">
        <v>62</v>
      </c>
      <c r="B67" s="20" t="str">
        <f aca="false">IFERROR(INDEX(CONG_VIEC!$A$6:$A$305,MATCH(A67,CONG_VIEC!$S$6:$S$305,0))&amp;"","")</f>
        <v/>
      </c>
      <c r="C67" s="25" t="str">
        <f aca="false">IFERROR(INDEX(CONG_VIEC!$C$6:$C$305,MATCH(A67,CONG_VIEC!$S$6:$S$305,0))&amp;"","")</f>
        <v/>
      </c>
      <c r="D67" s="20" t="str">
        <f aca="false">IFERROR(INDEX(CONG_VIEC!$D$6:$D$305,MATCH(A67,CONG_VIEC!$S$6:$S$305,0))&amp;"","")</f>
        <v/>
      </c>
      <c r="E67" s="20" t="str">
        <f aca="false">IFERROR(INDEX(CONG_VIEC!$F$6:$F$305,MATCH(A67,CONG_VIEC!$S$6:$S$305,0))&amp;"","")</f>
        <v/>
      </c>
      <c r="F67" s="26" t="str">
        <f aca="false">IFERROR(INDEX(CONG_VIEC!$J$6:$J$305,MATCH(A67,CONG_VIEC!$S$6:$S$305,0)),"")</f>
        <v/>
      </c>
      <c r="G67" s="20" t="str">
        <f aca="false">IFERROR(INDEX(CONG_VIEC!$O$6:$O$305,MATCH(A67,CONG_VIEC!$S$6:$S$305,0)),"")</f>
        <v/>
      </c>
      <c r="H67" s="20" t="str">
        <f aca="false">IFERROR(INDEX(CONG_VIEC!$K$6:$K$305,MATCH(A67,CONG_VIEC!$S$6:$S$305,0))&amp;"","")</f>
        <v/>
      </c>
      <c r="I67" s="21" t="str">
        <f aca="false">IFERROR(INDEX(CONG_VIEC!$P$6:$P$305,MATCH(A67,CONG_VIEC!$S$6:$S$305,0))&amp;"","")</f>
        <v/>
      </c>
    </row>
    <row r="68" customFormat="false" ht="15" hidden="false" customHeight="false" outlineLevel="0" collapsed="false">
      <c r="A68" s="24" t="n">
        <v>63</v>
      </c>
      <c r="B68" s="20" t="str">
        <f aca="false">IFERROR(INDEX(CONG_VIEC!$A$6:$A$305,MATCH(A68,CONG_VIEC!$S$6:$S$305,0))&amp;"","")</f>
        <v/>
      </c>
      <c r="C68" s="25" t="str">
        <f aca="false">IFERROR(INDEX(CONG_VIEC!$C$6:$C$305,MATCH(A68,CONG_VIEC!$S$6:$S$305,0))&amp;"","")</f>
        <v/>
      </c>
      <c r="D68" s="20" t="str">
        <f aca="false">IFERROR(INDEX(CONG_VIEC!$D$6:$D$305,MATCH(A68,CONG_VIEC!$S$6:$S$305,0))&amp;"","")</f>
        <v/>
      </c>
      <c r="E68" s="20" t="str">
        <f aca="false">IFERROR(INDEX(CONG_VIEC!$F$6:$F$305,MATCH(A68,CONG_VIEC!$S$6:$S$305,0))&amp;"","")</f>
        <v/>
      </c>
      <c r="F68" s="26" t="str">
        <f aca="false">IFERROR(INDEX(CONG_VIEC!$J$6:$J$305,MATCH(A68,CONG_VIEC!$S$6:$S$305,0)),"")</f>
        <v/>
      </c>
      <c r="G68" s="20" t="str">
        <f aca="false">IFERROR(INDEX(CONG_VIEC!$O$6:$O$305,MATCH(A68,CONG_VIEC!$S$6:$S$305,0)),"")</f>
        <v/>
      </c>
      <c r="H68" s="20" t="str">
        <f aca="false">IFERROR(INDEX(CONG_VIEC!$K$6:$K$305,MATCH(A68,CONG_VIEC!$S$6:$S$305,0))&amp;"","")</f>
        <v/>
      </c>
      <c r="I68" s="21" t="str">
        <f aca="false">IFERROR(INDEX(CONG_VIEC!$P$6:$P$305,MATCH(A68,CONG_VIEC!$S$6:$S$305,0))&amp;"","")</f>
        <v/>
      </c>
    </row>
    <row r="69" customFormat="false" ht="15" hidden="false" customHeight="false" outlineLevel="0" collapsed="false">
      <c r="A69" s="24" t="n">
        <v>64</v>
      </c>
      <c r="B69" s="20" t="str">
        <f aca="false">IFERROR(INDEX(CONG_VIEC!$A$6:$A$305,MATCH(A69,CONG_VIEC!$S$6:$S$305,0))&amp;"","")</f>
        <v/>
      </c>
      <c r="C69" s="25" t="str">
        <f aca="false">IFERROR(INDEX(CONG_VIEC!$C$6:$C$305,MATCH(A69,CONG_VIEC!$S$6:$S$305,0))&amp;"","")</f>
        <v/>
      </c>
      <c r="D69" s="20" t="str">
        <f aca="false">IFERROR(INDEX(CONG_VIEC!$D$6:$D$305,MATCH(A69,CONG_VIEC!$S$6:$S$305,0))&amp;"","")</f>
        <v/>
      </c>
      <c r="E69" s="20" t="str">
        <f aca="false">IFERROR(INDEX(CONG_VIEC!$F$6:$F$305,MATCH(A69,CONG_VIEC!$S$6:$S$305,0))&amp;"","")</f>
        <v/>
      </c>
      <c r="F69" s="26" t="str">
        <f aca="false">IFERROR(INDEX(CONG_VIEC!$J$6:$J$305,MATCH(A69,CONG_VIEC!$S$6:$S$305,0)),"")</f>
        <v/>
      </c>
      <c r="G69" s="20" t="str">
        <f aca="false">IFERROR(INDEX(CONG_VIEC!$O$6:$O$305,MATCH(A69,CONG_VIEC!$S$6:$S$305,0)),"")</f>
        <v/>
      </c>
      <c r="H69" s="20" t="str">
        <f aca="false">IFERROR(INDEX(CONG_VIEC!$K$6:$K$305,MATCH(A69,CONG_VIEC!$S$6:$S$305,0))&amp;"","")</f>
        <v/>
      </c>
      <c r="I69" s="21" t="str">
        <f aca="false">IFERROR(INDEX(CONG_VIEC!$P$6:$P$305,MATCH(A69,CONG_VIEC!$S$6:$S$305,0))&amp;"","")</f>
        <v/>
      </c>
    </row>
    <row r="70" customFormat="false" ht="15" hidden="false" customHeight="false" outlineLevel="0" collapsed="false">
      <c r="A70" s="24" t="n">
        <v>65</v>
      </c>
      <c r="B70" s="20" t="str">
        <f aca="false">IFERROR(INDEX(CONG_VIEC!$A$6:$A$305,MATCH(A70,CONG_VIEC!$S$6:$S$305,0))&amp;"","")</f>
        <v/>
      </c>
      <c r="C70" s="25" t="str">
        <f aca="false">IFERROR(INDEX(CONG_VIEC!$C$6:$C$305,MATCH(A70,CONG_VIEC!$S$6:$S$305,0))&amp;"","")</f>
        <v/>
      </c>
      <c r="D70" s="20" t="str">
        <f aca="false">IFERROR(INDEX(CONG_VIEC!$D$6:$D$305,MATCH(A70,CONG_VIEC!$S$6:$S$305,0))&amp;"","")</f>
        <v/>
      </c>
      <c r="E70" s="20" t="str">
        <f aca="false">IFERROR(INDEX(CONG_VIEC!$F$6:$F$305,MATCH(A70,CONG_VIEC!$S$6:$S$305,0))&amp;"","")</f>
        <v/>
      </c>
      <c r="F70" s="26" t="str">
        <f aca="false">IFERROR(INDEX(CONG_VIEC!$J$6:$J$305,MATCH(A70,CONG_VIEC!$S$6:$S$305,0)),"")</f>
        <v/>
      </c>
      <c r="G70" s="20" t="str">
        <f aca="false">IFERROR(INDEX(CONG_VIEC!$O$6:$O$305,MATCH(A70,CONG_VIEC!$S$6:$S$305,0)),"")</f>
        <v/>
      </c>
      <c r="H70" s="20" t="str">
        <f aca="false">IFERROR(INDEX(CONG_VIEC!$K$6:$K$305,MATCH(A70,CONG_VIEC!$S$6:$S$305,0))&amp;"","")</f>
        <v/>
      </c>
      <c r="I70" s="21" t="str">
        <f aca="false">IFERROR(INDEX(CONG_VIEC!$P$6:$P$305,MATCH(A70,CONG_VIEC!$S$6:$S$305,0))&amp;"","")</f>
        <v/>
      </c>
    </row>
    <row r="71" customFormat="false" ht="15" hidden="false" customHeight="false" outlineLevel="0" collapsed="false">
      <c r="A71" s="24" t="n">
        <v>66</v>
      </c>
      <c r="B71" s="20" t="str">
        <f aca="false">IFERROR(INDEX(CONG_VIEC!$A$6:$A$305,MATCH(A71,CONG_VIEC!$S$6:$S$305,0))&amp;"","")</f>
        <v/>
      </c>
      <c r="C71" s="25" t="str">
        <f aca="false">IFERROR(INDEX(CONG_VIEC!$C$6:$C$305,MATCH(A71,CONG_VIEC!$S$6:$S$305,0))&amp;"","")</f>
        <v/>
      </c>
      <c r="D71" s="20" t="str">
        <f aca="false">IFERROR(INDEX(CONG_VIEC!$D$6:$D$305,MATCH(A71,CONG_VIEC!$S$6:$S$305,0))&amp;"","")</f>
        <v/>
      </c>
      <c r="E71" s="20" t="str">
        <f aca="false">IFERROR(INDEX(CONG_VIEC!$F$6:$F$305,MATCH(A71,CONG_VIEC!$S$6:$S$305,0))&amp;"","")</f>
        <v/>
      </c>
      <c r="F71" s="26" t="str">
        <f aca="false">IFERROR(INDEX(CONG_VIEC!$J$6:$J$305,MATCH(A71,CONG_VIEC!$S$6:$S$305,0)),"")</f>
        <v/>
      </c>
      <c r="G71" s="20" t="str">
        <f aca="false">IFERROR(INDEX(CONG_VIEC!$O$6:$O$305,MATCH(A71,CONG_VIEC!$S$6:$S$305,0)),"")</f>
        <v/>
      </c>
      <c r="H71" s="20" t="str">
        <f aca="false">IFERROR(INDEX(CONG_VIEC!$K$6:$K$305,MATCH(A71,CONG_VIEC!$S$6:$S$305,0))&amp;"","")</f>
        <v/>
      </c>
      <c r="I71" s="21" t="str">
        <f aca="false">IFERROR(INDEX(CONG_VIEC!$P$6:$P$305,MATCH(A71,CONG_VIEC!$S$6:$S$305,0))&amp;"","")</f>
        <v/>
      </c>
    </row>
    <row r="72" customFormat="false" ht="15" hidden="false" customHeight="false" outlineLevel="0" collapsed="false">
      <c r="A72" s="24" t="n">
        <v>67</v>
      </c>
      <c r="B72" s="20" t="str">
        <f aca="false">IFERROR(INDEX(CONG_VIEC!$A$6:$A$305,MATCH(A72,CONG_VIEC!$S$6:$S$305,0))&amp;"","")</f>
        <v/>
      </c>
      <c r="C72" s="25" t="str">
        <f aca="false">IFERROR(INDEX(CONG_VIEC!$C$6:$C$305,MATCH(A72,CONG_VIEC!$S$6:$S$305,0))&amp;"","")</f>
        <v/>
      </c>
      <c r="D72" s="20" t="str">
        <f aca="false">IFERROR(INDEX(CONG_VIEC!$D$6:$D$305,MATCH(A72,CONG_VIEC!$S$6:$S$305,0))&amp;"","")</f>
        <v/>
      </c>
      <c r="E72" s="20" t="str">
        <f aca="false">IFERROR(INDEX(CONG_VIEC!$F$6:$F$305,MATCH(A72,CONG_VIEC!$S$6:$S$305,0))&amp;"","")</f>
        <v/>
      </c>
      <c r="F72" s="26" t="str">
        <f aca="false">IFERROR(INDEX(CONG_VIEC!$J$6:$J$305,MATCH(A72,CONG_VIEC!$S$6:$S$305,0)),"")</f>
        <v/>
      </c>
      <c r="G72" s="20" t="str">
        <f aca="false">IFERROR(INDEX(CONG_VIEC!$O$6:$O$305,MATCH(A72,CONG_VIEC!$S$6:$S$305,0)),"")</f>
        <v/>
      </c>
      <c r="H72" s="20" t="str">
        <f aca="false">IFERROR(INDEX(CONG_VIEC!$K$6:$K$305,MATCH(A72,CONG_VIEC!$S$6:$S$305,0))&amp;"","")</f>
        <v/>
      </c>
      <c r="I72" s="21" t="str">
        <f aca="false">IFERROR(INDEX(CONG_VIEC!$P$6:$P$305,MATCH(A72,CONG_VIEC!$S$6:$S$305,0))&amp;"","")</f>
        <v/>
      </c>
    </row>
    <row r="73" customFormat="false" ht="15" hidden="false" customHeight="false" outlineLevel="0" collapsed="false">
      <c r="A73" s="24" t="n">
        <v>68</v>
      </c>
      <c r="B73" s="20" t="str">
        <f aca="false">IFERROR(INDEX(CONG_VIEC!$A$6:$A$305,MATCH(A73,CONG_VIEC!$S$6:$S$305,0))&amp;"","")</f>
        <v/>
      </c>
      <c r="C73" s="25" t="str">
        <f aca="false">IFERROR(INDEX(CONG_VIEC!$C$6:$C$305,MATCH(A73,CONG_VIEC!$S$6:$S$305,0))&amp;"","")</f>
        <v/>
      </c>
      <c r="D73" s="20" t="str">
        <f aca="false">IFERROR(INDEX(CONG_VIEC!$D$6:$D$305,MATCH(A73,CONG_VIEC!$S$6:$S$305,0))&amp;"","")</f>
        <v/>
      </c>
      <c r="E73" s="20" t="str">
        <f aca="false">IFERROR(INDEX(CONG_VIEC!$F$6:$F$305,MATCH(A73,CONG_VIEC!$S$6:$S$305,0))&amp;"","")</f>
        <v/>
      </c>
      <c r="F73" s="26" t="str">
        <f aca="false">IFERROR(INDEX(CONG_VIEC!$J$6:$J$305,MATCH(A73,CONG_VIEC!$S$6:$S$305,0)),"")</f>
        <v/>
      </c>
      <c r="G73" s="20" t="str">
        <f aca="false">IFERROR(INDEX(CONG_VIEC!$O$6:$O$305,MATCH(A73,CONG_VIEC!$S$6:$S$305,0)),"")</f>
        <v/>
      </c>
      <c r="H73" s="20" t="str">
        <f aca="false">IFERROR(INDEX(CONG_VIEC!$K$6:$K$305,MATCH(A73,CONG_VIEC!$S$6:$S$305,0))&amp;"","")</f>
        <v/>
      </c>
      <c r="I73" s="21" t="str">
        <f aca="false">IFERROR(INDEX(CONG_VIEC!$P$6:$P$305,MATCH(A73,CONG_VIEC!$S$6:$S$305,0))&amp;"","")</f>
        <v/>
      </c>
    </row>
    <row r="74" customFormat="false" ht="15" hidden="false" customHeight="false" outlineLevel="0" collapsed="false">
      <c r="A74" s="24" t="n">
        <v>69</v>
      </c>
      <c r="B74" s="20" t="str">
        <f aca="false">IFERROR(INDEX(CONG_VIEC!$A$6:$A$305,MATCH(A74,CONG_VIEC!$S$6:$S$305,0))&amp;"","")</f>
        <v/>
      </c>
      <c r="C74" s="25" t="str">
        <f aca="false">IFERROR(INDEX(CONG_VIEC!$C$6:$C$305,MATCH(A74,CONG_VIEC!$S$6:$S$305,0))&amp;"","")</f>
        <v/>
      </c>
      <c r="D74" s="20" t="str">
        <f aca="false">IFERROR(INDEX(CONG_VIEC!$D$6:$D$305,MATCH(A74,CONG_VIEC!$S$6:$S$305,0))&amp;"","")</f>
        <v/>
      </c>
      <c r="E74" s="20" t="str">
        <f aca="false">IFERROR(INDEX(CONG_VIEC!$F$6:$F$305,MATCH(A74,CONG_VIEC!$S$6:$S$305,0))&amp;"","")</f>
        <v/>
      </c>
      <c r="F74" s="26" t="str">
        <f aca="false">IFERROR(INDEX(CONG_VIEC!$J$6:$J$305,MATCH(A74,CONG_VIEC!$S$6:$S$305,0)),"")</f>
        <v/>
      </c>
      <c r="G74" s="20" t="str">
        <f aca="false">IFERROR(INDEX(CONG_VIEC!$O$6:$O$305,MATCH(A74,CONG_VIEC!$S$6:$S$305,0)),"")</f>
        <v/>
      </c>
      <c r="H74" s="20" t="str">
        <f aca="false">IFERROR(INDEX(CONG_VIEC!$K$6:$K$305,MATCH(A74,CONG_VIEC!$S$6:$S$305,0))&amp;"","")</f>
        <v/>
      </c>
      <c r="I74" s="21" t="str">
        <f aca="false">IFERROR(INDEX(CONG_VIEC!$P$6:$P$305,MATCH(A74,CONG_VIEC!$S$6:$S$305,0))&amp;"","")</f>
        <v/>
      </c>
    </row>
    <row r="75" customFormat="false" ht="15" hidden="false" customHeight="false" outlineLevel="0" collapsed="false">
      <c r="A75" s="24" t="n">
        <v>70</v>
      </c>
      <c r="B75" s="20" t="str">
        <f aca="false">IFERROR(INDEX(CONG_VIEC!$A$6:$A$305,MATCH(A75,CONG_VIEC!$S$6:$S$305,0))&amp;"","")</f>
        <v/>
      </c>
      <c r="C75" s="25" t="str">
        <f aca="false">IFERROR(INDEX(CONG_VIEC!$C$6:$C$305,MATCH(A75,CONG_VIEC!$S$6:$S$305,0))&amp;"","")</f>
        <v/>
      </c>
      <c r="D75" s="20" t="str">
        <f aca="false">IFERROR(INDEX(CONG_VIEC!$D$6:$D$305,MATCH(A75,CONG_VIEC!$S$6:$S$305,0))&amp;"","")</f>
        <v/>
      </c>
      <c r="E75" s="20" t="str">
        <f aca="false">IFERROR(INDEX(CONG_VIEC!$F$6:$F$305,MATCH(A75,CONG_VIEC!$S$6:$S$305,0))&amp;"","")</f>
        <v/>
      </c>
      <c r="F75" s="26" t="str">
        <f aca="false">IFERROR(INDEX(CONG_VIEC!$J$6:$J$305,MATCH(A75,CONG_VIEC!$S$6:$S$305,0)),"")</f>
        <v/>
      </c>
      <c r="G75" s="20" t="str">
        <f aca="false">IFERROR(INDEX(CONG_VIEC!$O$6:$O$305,MATCH(A75,CONG_VIEC!$S$6:$S$305,0)),"")</f>
        <v/>
      </c>
      <c r="H75" s="20" t="str">
        <f aca="false">IFERROR(INDEX(CONG_VIEC!$K$6:$K$305,MATCH(A75,CONG_VIEC!$S$6:$S$305,0))&amp;"","")</f>
        <v/>
      </c>
      <c r="I75" s="21" t="str">
        <f aca="false">IFERROR(INDEX(CONG_VIEC!$P$6:$P$305,MATCH(A75,CONG_VIEC!$S$6:$S$305,0))&amp;"","")</f>
        <v/>
      </c>
    </row>
    <row r="76" customFormat="false" ht="15" hidden="false" customHeight="false" outlineLevel="0" collapsed="false">
      <c r="A76" s="24" t="n">
        <v>71</v>
      </c>
      <c r="B76" s="20" t="str">
        <f aca="false">IFERROR(INDEX(CONG_VIEC!$A$6:$A$305,MATCH(A76,CONG_VIEC!$S$6:$S$305,0))&amp;"","")</f>
        <v/>
      </c>
      <c r="C76" s="25" t="str">
        <f aca="false">IFERROR(INDEX(CONG_VIEC!$C$6:$C$305,MATCH(A76,CONG_VIEC!$S$6:$S$305,0))&amp;"","")</f>
        <v/>
      </c>
      <c r="D76" s="20" t="str">
        <f aca="false">IFERROR(INDEX(CONG_VIEC!$D$6:$D$305,MATCH(A76,CONG_VIEC!$S$6:$S$305,0))&amp;"","")</f>
        <v/>
      </c>
      <c r="E76" s="20" t="str">
        <f aca="false">IFERROR(INDEX(CONG_VIEC!$F$6:$F$305,MATCH(A76,CONG_VIEC!$S$6:$S$305,0))&amp;"","")</f>
        <v/>
      </c>
      <c r="F76" s="26" t="str">
        <f aca="false">IFERROR(INDEX(CONG_VIEC!$J$6:$J$305,MATCH(A76,CONG_VIEC!$S$6:$S$305,0)),"")</f>
        <v/>
      </c>
      <c r="G76" s="20" t="str">
        <f aca="false">IFERROR(INDEX(CONG_VIEC!$O$6:$O$305,MATCH(A76,CONG_VIEC!$S$6:$S$305,0)),"")</f>
        <v/>
      </c>
      <c r="H76" s="20" t="str">
        <f aca="false">IFERROR(INDEX(CONG_VIEC!$K$6:$K$305,MATCH(A76,CONG_VIEC!$S$6:$S$305,0))&amp;"","")</f>
        <v/>
      </c>
      <c r="I76" s="21" t="str">
        <f aca="false">IFERROR(INDEX(CONG_VIEC!$P$6:$P$305,MATCH(A76,CONG_VIEC!$S$6:$S$305,0))&amp;"","")</f>
        <v/>
      </c>
    </row>
    <row r="77" customFormat="false" ht="15" hidden="false" customHeight="false" outlineLevel="0" collapsed="false">
      <c r="A77" s="24" t="n">
        <v>72</v>
      </c>
      <c r="B77" s="20" t="str">
        <f aca="false">IFERROR(INDEX(CONG_VIEC!$A$6:$A$305,MATCH(A77,CONG_VIEC!$S$6:$S$305,0))&amp;"","")</f>
        <v/>
      </c>
      <c r="C77" s="25" t="str">
        <f aca="false">IFERROR(INDEX(CONG_VIEC!$C$6:$C$305,MATCH(A77,CONG_VIEC!$S$6:$S$305,0))&amp;"","")</f>
        <v/>
      </c>
      <c r="D77" s="20" t="str">
        <f aca="false">IFERROR(INDEX(CONG_VIEC!$D$6:$D$305,MATCH(A77,CONG_VIEC!$S$6:$S$305,0))&amp;"","")</f>
        <v/>
      </c>
      <c r="E77" s="20" t="str">
        <f aca="false">IFERROR(INDEX(CONG_VIEC!$F$6:$F$305,MATCH(A77,CONG_VIEC!$S$6:$S$305,0))&amp;"","")</f>
        <v/>
      </c>
      <c r="F77" s="26" t="str">
        <f aca="false">IFERROR(INDEX(CONG_VIEC!$J$6:$J$305,MATCH(A77,CONG_VIEC!$S$6:$S$305,0)),"")</f>
        <v/>
      </c>
      <c r="G77" s="20" t="str">
        <f aca="false">IFERROR(INDEX(CONG_VIEC!$O$6:$O$305,MATCH(A77,CONG_VIEC!$S$6:$S$305,0)),"")</f>
        <v/>
      </c>
      <c r="H77" s="20" t="str">
        <f aca="false">IFERROR(INDEX(CONG_VIEC!$K$6:$K$305,MATCH(A77,CONG_VIEC!$S$6:$S$305,0))&amp;"","")</f>
        <v/>
      </c>
      <c r="I77" s="21" t="str">
        <f aca="false">IFERROR(INDEX(CONG_VIEC!$P$6:$P$305,MATCH(A77,CONG_VIEC!$S$6:$S$305,0))&amp;"","")</f>
        <v/>
      </c>
    </row>
    <row r="78" customFormat="false" ht="15" hidden="false" customHeight="false" outlineLevel="0" collapsed="false">
      <c r="A78" s="24" t="n">
        <v>73</v>
      </c>
      <c r="B78" s="20" t="str">
        <f aca="false">IFERROR(INDEX(CONG_VIEC!$A$6:$A$305,MATCH(A78,CONG_VIEC!$S$6:$S$305,0))&amp;"","")</f>
        <v/>
      </c>
      <c r="C78" s="25" t="str">
        <f aca="false">IFERROR(INDEX(CONG_VIEC!$C$6:$C$305,MATCH(A78,CONG_VIEC!$S$6:$S$305,0))&amp;"","")</f>
        <v/>
      </c>
      <c r="D78" s="20" t="str">
        <f aca="false">IFERROR(INDEX(CONG_VIEC!$D$6:$D$305,MATCH(A78,CONG_VIEC!$S$6:$S$305,0))&amp;"","")</f>
        <v/>
      </c>
      <c r="E78" s="20" t="str">
        <f aca="false">IFERROR(INDEX(CONG_VIEC!$F$6:$F$305,MATCH(A78,CONG_VIEC!$S$6:$S$305,0))&amp;"","")</f>
        <v/>
      </c>
      <c r="F78" s="26" t="str">
        <f aca="false">IFERROR(INDEX(CONG_VIEC!$J$6:$J$305,MATCH(A78,CONG_VIEC!$S$6:$S$305,0)),"")</f>
        <v/>
      </c>
      <c r="G78" s="20" t="str">
        <f aca="false">IFERROR(INDEX(CONG_VIEC!$O$6:$O$305,MATCH(A78,CONG_VIEC!$S$6:$S$305,0)),"")</f>
        <v/>
      </c>
      <c r="H78" s="20" t="str">
        <f aca="false">IFERROR(INDEX(CONG_VIEC!$K$6:$K$305,MATCH(A78,CONG_VIEC!$S$6:$S$305,0))&amp;"","")</f>
        <v/>
      </c>
      <c r="I78" s="21" t="str">
        <f aca="false">IFERROR(INDEX(CONG_VIEC!$P$6:$P$305,MATCH(A78,CONG_VIEC!$S$6:$S$305,0))&amp;"","")</f>
        <v/>
      </c>
    </row>
    <row r="79" customFormat="false" ht="15" hidden="false" customHeight="false" outlineLevel="0" collapsed="false">
      <c r="A79" s="24" t="n">
        <v>74</v>
      </c>
      <c r="B79" s="20" t="str">
        <f aca="false">IFERROR(INDEX(CONG_VIEC!$A$6:$A$305,MATCH(A79,CONG_VIEC!$S$6:$S$305,0))&amp;"","")</f>
        <v/>
      </c>
      <c r="C79" s="25" t="str">
        <f aca="false">IFERROR(INDEX(CONG_VIEC!$C$6:$C$305,MATCH(A79,CONG_VIEC!$S$6:$S$305,0))&amp;"","")</f>
        <v/>
      </c>
      <c r="D79" s="20" t="str">
        <f aca="false">IFERROR(INDEX(CONG_VIEC!$D$6:$D$305,MATCH(A79,CONG_VIEC!$S$6:$S$305,0))&amp;"","")</f>
        <v/>
      </c>
      <c r="E79" s="20" t="str">
        <f aca="false">IFERROR(INDEX(CONG_VIEC!$F$6:$F$305,MATCH(A79,CONG_VIEC!$S$6:$S$305,0))&amp;"","")</f>
        <v/>
      </c>
      <c r="F79" s="26" t="str">
        <f aca="false">IFERROR(INDEX(CONG_VIEC!$J$6:$J$305,MATCH(A79,CONG_VIEC!$S$6:$S$305,0)),"")</f>
        <v/>
      </c>
      <c r="G79" s="20" t="str">
        <f aca="false">IFERROR(INDEX(CONG_VIEC!$O$6:$O$305,MATCH(A79,CONG_VIEC!$S$6:$S$305,0)),"")</f>
        <v/>
      </c>
      <c r="H79" s="20" t="str">
        <f aca="false">IFERROR(INDEX(CONG_VIEC!$K$6:$K$305,MATCH(A79,CONG_VIEC!$S$6:$S$305,0))&amp;"","")</f>
        <v/>
      </c>
      <c r="I79" s="21" t="str">
        <f aca="false">IFERROR(INDEX(CONG_VIEC!$P$6:$P$305,MATCH(A79,CONG_VIEC!$S$6:$S$305,0))&amp;"","")</f>
        <v/>
      </c>
    </row>
    <row r="80" customFormat="false" ht="15" hidden="false" customHeight="false" outlineLevel="0" collapsed="false">
      <c r="A80" s="24" t="n">
        <v>75</v>
      </c>
      <c r="B80" s="20" t="str">
        <f aca="false">IFERROR(INDEX(CONG_VIEC!$A$6:$A$305,MATCH(A80,CONG_VIEC!$S$6:$S$305,0))&amp;"","")</f>
        <v/>
      </c>
      <c r="C80" s="25" t="str">
        <f aca="false">IFERROR(INDEX(CONG_VIEC!$C$6:$C$305,MATCH(A80,CONG_VIEC!$S$6:$S$305,0))&amp;"","")</f>
        <v/>
      </c>
      <c r="D80" s="20" t="str">
        <f aca="false">IFERROR(INDEX(CONG_VIEC!$D$6:$D$305,MATCH(A80,CONG_VIEC!$S$6:$S$305,0))&amp;"","")</f>
        <v/>
      </c>
      <c r="E80" s="20" t="str">
        <f aca="false">IFERROR(INDEX(CONG_VIEC!$F$6:$F$305,MATCH(A80,CONG_VIEC!$S$6:$S$305,0))&amp;"","")</f>
        <v/>
      </c>
      <c r="F80" s="26" t="str">
        <f aca="false">IFERROR(INDEX(CONG_VIEC!$J$6:$J$305,MATCH(A80,CONG_VIEC!$S$6:$S$305,0)),"")</f>
        <v/>
      </c>
      <c r="G80" s="20" t="str">
        <f aca="false">IFERROR(INDEX(CONG_VIEC!$O$6:$O$305,MATCH(A80,CONG_VIEC!$S$6:$S$305,0)),"")</f>
        <v/>
      </c>
      <c r="H80" s="20" t="str">
        <f aca="false">IFERROR(INDEX(CONG_VIEC!$K$6:$K$305,MATCH(A80,CONG_VIEC!$S$6:$S$305,0))&amp;"","")</f>
        <v/>
      </c>
      <c r="I80" s="21" t="str">
        <f aca="false">IFERROR(INDEX(CONG_VIEC!$P$6:$P$305,MATCH(A80,CONG_VIEC!$S$6:$S$305,0))&amp;"","")</f>
        <v/>
      </c>
    </row>
    <row r="81" customFormat="false" ht="15" hidden="false" customHeight="false" outlineLevel="0" collapsed="false">
      <c r="A81" s="24" t="n">
        <v>76</v>
      </c>
      <c r="B81" s="20" t="str">
        <f aca="false">IFERROR(INDEX(CONG_VIEC!$A$6:$A$305,MATCH(A81,CONG_VIEC!$S$6:$S$305,0))&amp;"","")</f>
        <v/>
      </c>
      <c r="C81" s="25" t="str">
        <f aca="false">IFERROR(INDEX(CONG_VIEC!$C$6:$C$305,MATCH(A81,CONG_VIEC!$S$6:$S$305,0))&amp;"","")</f>
        <v/>
      </c>
      <c r="D81" s="20" t="str">
        <f aca="false">IFERROR(INDEX(CONG_VIEC!$D$6:$D$305,MATCH(A81,CONG_VIEC!$S$6:$S$305,0))&amp;"","")</f>
        <v/>
      </c>
      <c r="E81" s="20" t="str">
        <f aca="false">IFERROR(INDEX(CONG_VIEC!$F$6:$F$305,MATCH(A81,CONG_VIEC!$S$6:$S$305,0))&amp;"","")</f>
        <v/>
      </c>
      <c r="F81" s="26" t="str">
        <f aca="false">IFERROR(INDEX(CONG_VIEC!$J$6:$J$305,MATCH(A81,CONG_VIEC!$S$6:$S$305,0)),"")</f>
        <v/>
      </c>
      <c r="G81" s="20" t="str">
        <f aca="false">IFERROR(INDEX(CONG_VIEC!$O$6:$O$305,MATCH(A81,CONG_VIEC!$S$6:$S$305,0)),"")</f>
        <v/>
      </c>
      <c r="H81" s="20" t="str">
        <f aca="false">IFERROR(INDEX(CONG_VIEC!$K$6:$K$305,MATCH(A81,CONG_VIEC!$S$6:$S$305,0))&amp;"","")</f>
        <v/>
      </c>
      <c r="I81" s="21" t="str">
        <f aca="false">IFERROR(INDEX(CONG_VIEC!$P$6:$P$305,MATCH(A81,CONG_VIEC!$S$6:$S$305,0))&amp;"","")</f>
        <v/>
      </c>
    </row>
    <row r="82" customFormat="false" ht="15" hidden="false" customHeight="false" outlineLevel="0" collapsed="false">
      <c r="A82" s="24" t="n">
        <v>77</v>
      </c>
      <c r="B82" s="20" t="str">
        <f aca="false">IFERROR(INDEX(CONG_VIEC!$A$6:$A$305,MATCH(A82,CONG_VIEC!$S$6:$S$305,0))&amp;"","")</f>
        <v/>
      </c>
      <c r="C82" s="25" t="str">
        <f aca="false">IFERROR(INDEX(CONG_VIEC!$C$6:$C$305,MATCH(A82,CONG_VIEC!$S$6:$S$305,0))&amp;"","")</f>
        <v/>
      </c>
      <c r="D82" s="20" t="str">
        <f aca="false">IFERROR(INDEX(CONG_VIEC!$D$6:$D$305,MATCH(A82,CONG_VIEC!$S$6:$S$305,0))&amp;"","")</f>
        <v/>
      </c>
      <c r="E82" s="20" t="str">
        <f aca="false">IFERROR(INDEX(CONG_VIEC!$F$6:$F$305,MATCH(A82,CONG_VIEC!$S$6:$S$305,0))&amp;"","")</f>
        <v/>
      </c>
      <c r="F82" s="26" t="str">
        <f aca="false">IFERROR(INDEX(CONG_VIEC!$J$6:$J$305,MATCH(A82,CONG_VIEC!$S$6:$S$305,0)),"")</f>
        <v/>
      </c>
      <c r="G82" s="20" t="str">
        <f aca="false">IFERROR(INDEX(CONG_VIEC!$O$6:$O$305,MATCH(A82,CONG_VIEC!$S$6:$S$305,0)),"")</f>
        <v/>
      </c>
      <c r="H82" s="20" t="str">
        <f aca="false">IFERROR(INDEX(CONG_VIEC!$K$6:$K$305,MATCH(A82,CONG_VIEC!$S$6:$S$305,0))&amp;"","")</f>
        <v/>
      </c>
      <c r="I82" s="21" t="str">
        <f aca="false">IFERROR(INDEX(CONG_VIEC!$P$6:$P$305,MATCH(A82,CONG_VIEC!$S$6:$S$305,0))&amp;"","")</f>
        <v/>
      </c>
    </row>
    <row r="83" customFormat="false" ht="15" hidden="false" customHeight="false" outlineLevel="0" collapsed="false">
      <c r="A83" s="24" t="n">
        <v>78</v>
      </c>
      <c r="B83" s="20" t="str">
        <f aca="false">IFERROR(INDEX(CONG_VIEC!$A$6:$A$305,MATCH(A83,CONG_VIEC!$S$6:$S$305,0))&amp;"","")</f>
        <v/>
      </c>
      <c r="C83" s="25" t="str">
        <f aca="false">IFERROR(INDEX(CONG_VIEC!$C$6:$C$305,MATCH(A83,CONG_VIEC!$S$6:$S$305,0))&amp;"","")</f>
        <v/>
      </c>
      <c r="D83" s="20" t="str">
        <f aca="false">IFERROR(INDEX(CONG_VIEC!$D$6:$D$305,MATCH(A83,CONG_VIEC!$S$6:$S$305,0))&amp;"","")</f>
        <v/>
      </c>
      <c r="E83" s="20" t="str">
        <f aca="false">IFERROR(INDEX(CONG_VIEC!$F$6:$F$305,MATCH(A83,CONG_VIEC!$S$6:$S$305,0))&amp;"","")</f>
        <v/>
      </c>
      <c r="F83" s="26" t="str">
        <f aca="false">IFERROR(INDEX(CONG_VIEC!$J$6:$J$305,MATCH(A83,CONG_VIEC!$S$6:$S$305,0)),"")</f>
        <v/>
      </c>
      <c r="G83" s="20" t="str">
        <f aca="false">IFERROR(INDEX(CONG_VIEC!$O$6:$O$305,MATCH(A83,CONG_VIEC!$S$6:$S$305,0)),"")</f>
        <v/>
      </c>
      <c r="H83" s="20" t="str">
        <f aca="false">IFERROR(INDEX(CONG_VIEC!$K$6:$K$305,MATCH(A83,CONG_VIEC!$S$6:$S$305,0))&amp;"","")</f>
        <v/>
      </c>
      <c r="I83" s="21" t="str">
        <f aca="false">IFERROR(INDEX(CONG_VIEC!$P$6:$P$305,MATCH(A83,CONG_VIEC!$S$6:$S$305,0))&amp;"","")</f>
        <v/>
      </c>
    </row>
    <row r="84" customFormat="false" ht="15" hidden="false" customHeight="false" outlineLevel="0" collapsed="false">
      <c r="A84" s="24" t="n">
        <v>79</v>
      </c>
      <c r="B84" s="20" t="str">
        <f aca="false">IFERROR(INDEX(CONG_VIEC!$A$6:$A$305,MATCH(A84,CONG_VIEC!$S$6:$S$305,0))&amp;"","")</f>
        <v/>
      </c>
      <c r="C84" s="25" t="str">
        <f aca="false">IFERROR(INDEX(CONG_VIEC!$C$6:$C$305,MATCH(A84,CONG_VIEC!$S$6:$S$305,0))&amp;"","")</f>
        <v/>
      </c>
      <c r="D84" s="20" t="str">
        <f aca="false">IFERROR(INDEX(CONG_VIEC!$D$6:$D$305,MATCH(A84,CONG_VIEC!$S$6:$S$305,0))&amp;"","")</f>
        <v/>
      </c>
      <c r="E84" s="20" t="str">
        <f aca="false">IFERROR(INDEX(CONG_VIEC!$F$6:$F$305,MATCH(A84,CONG_VIEC!$S$6:$S$305,0))&amp;"","")</f>
        <v/>
      </c>
      <c r="F84" s="26" t="str">
        <f aca="false">IFERROR(INDEX(CONG_VIEC!$J$6:$J$305,MATCH(A84,CONG_VIEC!$S$6:$S$305,0)),"")</f>
        <v/>
      </c>
      <c r="G84" s="20" t="str">
        <f aca="false">IFERROR(INDEX(CONG_VIEC!$O$6:$O$305,MATCH(A84,CONG_VIEC!$S$6:$S$305,0)),"")</f>
        <v/>
      </c>
      <c r="H84" s="20" t="str">
        <f aca="false">IFERROR(INDEX(CONG_VIEC!$K$6:$K$305,MATCH(A84,CONG_VIEC!$S$6:$S$305,0))&amp;"","")</f>
        <v/>
      </c>
      <c r="I84" s="21" t="str">
        <f aca="false">IFERROR(INDEX(CONG_VIEC!$P$6:$P$305,MATCH(A84,CONG_VIEC!$S$6:$S$305,0))&amp;"","")</f>
        <v/>
      </c>
    </row>
    <row r="85" customFormat="false" ht="15" hidden="false" customHeight="false" outlineLevel="0" collapsed="false">
      <c r="A85" s="24" t="n">
        <v>80</v>
      </c>
      <c r="B85" s="20" t="str">
        <f aca="false">IFERROR(INDEX(CONG_VIEC!$A$6:$A$305,MATCH(A85,CONG_VIEC!$S$6:$S$305,0))&amp;"","")</f>
        <v/>
      </c>
      <c r="C85" s="25" t="str">
        <f aca="false">IFERROR(INDEX(CONG_VIEC!$C$6:$C$305,MATCH(A85,CONG_VIEC!$S$6:$S$305,0))&amp;"","")</f>
        <v/>
      </c>
      <c r="D85" s="20" t="str">
        <f aca="false">IFERROR(INDEX(CONG_VIEC!$D$6:$D$305,MATCH(A85,CONG_VIEC!$S$6:$S$305,0))&amp;"","")</f>
        <v/>
      </c>
      <c r="E85" s="20" t="str">
        <f aca="false">IFERROR(INDEX(CONG_VIEC!$F$6:$F$305,MATCH(A85,CONG_VIEC!$S$6:$S$305,0))&amp;"","")</f>
        <v/>
      </c>
      <c r="F85" s="26" t="str">
        <f aca="false">IFERROR(INDEX(CONG_VIEC!$J$6:$J$305,MATCH(A85,CONG_VIEC!$S$6:$S$305,0)),"")</f>
        <v/>
      </c>
      <c r="G85" s="20" t="str">
        <f aca="false">IFERROR(INDEX(CONG_VIEC!$O$6:$O$305,MATCH(A85,CONG_VIEC!$S$6:$S$305,0)),"")</f>
        <v/>
      </c>
      <c r="H85" s="20" t="str">
        <f aca="false">IFERROR(INDEX(CONG_VIEC!$K$6:$K$305,MATCH(A85,CONG_VIEC!$S$6:$S$305,0))&amp;"","")</f>
        <v/>
      </c>
      <c r="I85" s="21" t="str">
        <f aca="false">IFERROR(INDEX(CONG_VIEC!$P$6:$P$305,MATCH(A85,CONG_VIEC!$S$6:$S$305,0))&amp;"","")</f>
        <v/>
      </c>
    </row>
    <row r="86" customFormat="false" ht="15" hidden="false" customHeight="false" outlineLevel="0" collapsed="false">
      <c r="A86" s="24" t="n">
        <v>81</v>
      </c>
      <c r="B86" s="20" t="str">
        <f aca="false">IFERROR(INDEX(CONG_VIEC!$A$6:$A$305,MATCH(A86,CONG_VIEC!$S$6:$S$305,0))&amp;"","")</f>
        <v/>
      </c>
      <c r="C86" s="25" t="str">
        <f aca="false">IFERROR(INDEX(CONG_VIEC!$C$6:$C$305,MATCH(A86,CONG_VIEC!$S$6:$S$305,0))&amp;"","")</f>
        <v/>
      </c>
      <c r="D86" s="20" t="str">
        <f aca="false">IFERROR(INDEX(CONG_VIEC!$D$6:$D$305,MATCH(A86,CONG_VIEC!$S$6:$S$305,0))&amp;"","")</f>
        <v/>
      </c>
      <c r="E86" s="20" t="str">
        <f aca="false">IFERROR(INDEX(CONG_VIEC!$F$6:$F$305,MATCH(A86,CONG_VIEC!$S$6:$S$305,0))&amp;"","")</f>
        <v/>
      </c>
      <c r="F86" s="26" t="str">
        <f aca="false">IFERROR(INDEX(CONG_VIEC!$J$6:$J$305,MATCH(A86,CONG_VIEC!$S$6:$S$305,0)),"")</f>
        <v/>
      </c>
      <c r="G86" s="20" t="str">
        <f aca="false">IFERROR(INDEX(CONG_VIEC!$O$6:$O$305,MATCH(A86,CONG_VIEC!$S$6:$S$305,0)),"")</f>
        <v/>
      </c>
      <c r="H86" s="20" t="str">
        <f aca="false">IFERROR(INDEX(CONG_VIEC!$K$6:$K$305,MATCH(A86,CONG_VIEC!$S$6:$S$305,0))&amp;"","")</f>
        <v/>
      </c>
      <c r="I86" s="21" t="str">
        <f aca="false">IFERROR(INDEX(CONG_VIEC!$P$6:$P$305,MATCH(A86,CONG_VIEC!$S$6:$S$305,0))&amp;"","")</f>
        <v/>
      </c>
    </row>
    <row r="87" customFormat="false" ht="15" hidden="false" customHeight="false" outlineLevel="0" collapsed="false">
      <c r="A87" s="24" t="n">
        <v>82</v>
      </c>
      <c r="B87" s="20" t="str">
        <f aca="false">IFERROR(INDEX(CONG_VIEC!$A$6:$A$305,MATCH(A87,CONG_VIEC!$S$6:$S$305,0))&amp;"","")</f>
        <v/>
      </c>
      <c r="C87" s="25" t="str">
        <f aca="false">IFERROR(INDEX(CONG_VIEC!$C$6:$C$305,MATCH(A87,CONG_VIEC!$S$6:$S$305,0))&amp;"","")</f>
        <v/>
      </c>
      <c r="D87" s="20" t="str">
        <f aca="false">IFERROR(INDEX(CONG_VIEC!$D$6:$D$305,MATCH(A87,CONG_VIEC!$S$6:$S$305,0))&amp;"","")</f>
        <v/>
      </c>
      <c r="E87" s="20" t="str">
        <f aca="false">IFERROR(INDEX(CONG_VIEC!$F$6:$F$305,MATCH(A87,CONG_VIEC!$S$6:$S$305,0))&amp;"","")</f>
        <v/>
      </c>
      <c r="F87" s="26" t="str">
        <f aca="false">IFERROR(INDEX(CONG_VIEC!$J$6:$J$305,MATCH(A87,CONG_VIEC!$S$6:$S$305,0)),"")</f>
        <v/>
      </c>
      <c r="G87" s="20" t="str">
        <f aca="false">IFERROR(INDEX(CONG_VIEC!$O$6:$O$305,MATCH(A87,CONG_VIEC!$S$6:$S$305,0)),"")</f>
        <v/>
      </c>
      <c r="H87" s="20" t="str">
        <f aca="false">IFERROR(INDEX(CONG_VIEC!$K$6:$K$305,MATCH(A87,CONG_VIEC!$S$6:$S$305,0))&amp;"","")</f>
        <v/>
      </c>
      <c r="I87" s="21" t="str">
        <f aca="false">IFERROR(INDEX(CONG_VIEC!$P$6:$P$305,MATCH(A87,CONG_VIEC!$S$6:$S$305,0))&amp;"","")</f>
        <v/>
      </c>
    </row>
    <row r="88" customFormat="false" ht="15" hidden="false" customHeight="false" outlineLevel="0" collapsed="false">
      <c r="A88" s="24" t="n">
        <v>83</v>
      </c>
      <c r="B88" s="20" t="str">
        <f aca="false">IFERROR(INDEX(CONG_VIEC!$A$6:$A$305,MATCH(A88,CONG_VIEC!$S$6:$S$305,0))&amp;"","")</f>
        <v/>
      </c>
      <c r="C88" s="25" t="str">
        <f aca="false">IFERROR(INDEX(CONG_VIEC!$C$6:$C$305,MATCH(A88,CONG_VIEC!$S$6:$S$305,0))&amp;"","")</f>
        <v/>
      </c>
      <c r="D88" s="20" t="str">
        <f aca="false">IFERROR(INDEX(CONG_VIEC!$D$6:$D$305,MATCH(A88,CONG_VIEC!$S$6:$S$305,0))&amp;"","")</f>
        <v/>
      </c>
      <c r="E88" s="20" t="str">
        <f aca="false">IFERROR(INDEX(CONG_VIEC!$F$6:$F$305,MATCH(A88,CONG_VIEC!$S$6:$S$305,0))&amp;"","")</f>
        <v/>
      </c>
      <c r="F88" s="26" t="str">
        <f aca="false">IFERROR(INDEX(CONG_VIEC!$J$6:$J$305,MATCH(A88,CONG_VIEC!$S$6:$S$305,0)),"")</f>
        <v/>
      </c>
      <c r="G88" s="20" t="str">
        <f aca="false">IFERROR(INDEX(CONG_VIEC!$O$6:$O$305,MATCH(A88,CONG_VIEC!$S$6:$S$305,0)),"")</f>
        <v/>
      </c>
      <c r="H88" s="20" t="str">
        <f aca="false">IFERROR(INDEX(CONG_VIEC!$K$6:$K$305,MATCH(A88,CONG_VIEC!$S$6:$S$305,0))&amp;"","")</f>
        <v/>
      </c>
      <c r="I88" s="21" t="str">
        <f aca="false">IFERROR(INDEX(CONG_VIEC!$P$6:$P$305,MATCH(A88,CONG_VIEC!$S$6:$S$305,0))&amp;"","")</f>
        <v/>
      </c>
    </row>
    <row r="89" customFormat="false" ht="15" hidden="false" customHeight="false" outlineLevel="0" collapsed="false">
      <c r="A89" s="24" t="n">
        <v>84</v>
      </c>
      <c r="B89" s="20" t="str">
        <f aca="false">IFERROR(INDEX(CONG_VIEC!$A$6:$A$305,MATCH(A89,CONG_VIEC!$S$6:$S$305,0))&amp;"","")</f>
        <v/>
      </c>
      <c r="C89" s="25" t="str">
        <f aca="false">IFERROR(INDEX(CONG_VIEC!$C$6:$C$305,MATCH(A89,CONG_VIEC!$S$6:$S$305,0))&amp;"","")</f>
        <v/>
      </c>
      <c r="D89" s="20" t="str">
        <f aca="false">IFERROR(INDEX(CONG_VIEC!$D$6:$D$305,MATCH(A89,CONG_VIEC!$S$6:$S$305,0))&amp;"","")</f>
        <v/>
      </c>
      <c r="E89" s="20" t="str">
        <f aca="false">IFERROR(INDEX(CONG_VIEC!$F$6:$F$305,MATCH(A89,CONG_VIEC!$S$6:$S$305,0))&amp;"","")</f>
        <v/>
      </c>
      <c r="F89" s="26" t="str">
        <f aca="false">IFERROR(INDEX(CONG_VIEC!$J$6:$J$305,MATCH(A89,CONG_VIEC!$S$6:$S$305,0)),"")</f>
        <v/>
      </c>
      <c r="G89" s="20" t="str">
        <f aca="false">IFERROR(INDEX(CONG_VIEC!$O$6:$O$305,MATCH(A89,CONG_VIEC!$S$6:$S$305,0)),"")</f>
        <v/>
      </c>
      <c r="H89" s="20" t="str">
        <f aca="false">IFERROR(INDEX(CONG_VIEC!$K$6:$K$305,MATCH(A89,CONG_VIEC!$S$6:$S$305,0))&amp;"","")</f>
        <v/>
      </c>
      <c r="I89" s="21" t="str">
        <f aca="false">IFERROR(INDEX(CONG_VIEC!$P$6:$P$305,MATCH(A89,CONG_VIEC!$S$6:$S$305,0))&amp;"","")</f>
        <v/>
      </c>
    </row>
    <row r="90" customFormat="false" ht="15" hidden="false" customHeight="false" outlineLevel="0" collapsed="false">
      <c r="A90" s="24" t="n">
        <v>85</v>
      </c>
      <c r="B90" s="20" t="str">
        <f aca="false">IFERROR(INDEX(CONG_VIEC!$A$6:$A$305,MATCH(A90,CONG_VIEC!$S$6:$S$305,0))&amp;"","")</f>
        <v/>
      </c>
      <c r="C90" s="25" t="str">
        <f aca="false">IFERROR(INDEX(CONG_VIEC!$C$6:$C$305,MATCH(A90,CONG_VIEC!$S$6:$S$305,0))&amp;"","")</f>
        <v/>
      </c>
      <c r="D90" s="20" t="str">
        <f aca="false">IFERROR(INDEX(CONG_VIEC!$D$6:$D$305,MATCH(A90,CONG_VIEC!$S$6:$S$305,0))&amp;"","")</f>
        <v/>
      </c>
      <c r="E90" s="20" t="str">
        <f aca="false">IFERROR(INDEX(CONG_VIEC!$F$6:$F$305,MATCH(A90,CONG_VIEC!$S$6:$S$305,0))&amp;"","")</f>
        <v/>
      </c>
      <c r="F90" s="26" t="str">
        <f aca="false">IFERROR(INDEX(CONG_VIEC!$J$6:$J$305,MATCH(A90,CONG_VIEC!$S$6:$S$305,0)),"")</f>
        <v/>
      </c>
      <c r="G90" s="20" t="str">
        <f aca="false">IFERROR(INDEX(CONG_VIEC!$O$6:$O$305,MATCH(A90,CONG_VIEC!$S$6:$S$305,0)),"")</f>
        <v/>
      </c>
      <c r="H90" s="20" t="str">
        <f aca="false">IFERROR(INDEX(CONG_VIEC!$K$6:$K$305,MATCH(A90,CONG_VIEC!$S$6:$S$305,0))&amp;"","")</f>
        <v/>
      </c>
      <c r="I90" s="21" t="str">
        <f aca="false">IFERROR(INDEX(CONG_VIEC!$P$6:$P$305,MATCH(A90,CONG_VIEC!$S$6:$S$305,0))&amp;"","")</f>
        <v/>
      </c>
    </row>
    <row r="91" customFormat="false" ht="15" hidden="false" customHeight="false" outlineLevel="0" collapsed="false">
      <c r="A91" s="24" t="n">
        <v>86</v>
      </c>
      <c r="B91" s="20" t="str">
        <f aca="false">IFERROR(INDEX(CONG_VIEC!$A$6:$A$305,MATCH(A91,CONG_VIEC!$S$6:$S$305,0))&amp;"","")</f>
        <v/>
      </c>
      <c r="C91" s="25" t="str">
        <f aca="false">IFERROR(INDEX(CONG_VIEC!$C$6:$C$305,MATCH(A91,CONG_VIEC!$S$6:$S$305,0))&amp;"","")</f>
        <v/>
      </c>
      <c r="D91" s="20" t="str">
        <f aca="false">IFERROR(INDEX(CONG_VIEC!$D$6:$D$305,MATCH(A91,CONG_VIEC!$S$6:$S$305,0))&amp;"","")</f>
        <v/>
      </c>
      <c r="E91" s="20" t="str">
        <f aca="false">IFERROR(INDEX(CONG_VIEC!$F$6:$F$305,MATCH(A91,CONG_VIEC!$S$6:$S$305,0))&amp;"","")</f>
        <v/>
      </c>
      <c r="F91" s="26" t="str">
        <f aca="false">IFERROR(INDEX(CONG_VIEC!$J$6:$J$305,MATCH(A91,CONG_VIEC!$S$6:$S$305,0)),"")</f>
        <v/>
      </c>
      <c r="G91" s="20" t="str">
        <f aca="false">IFERROR(INDEX(CONG_VIEC!$O$6:$O$305,MATCH(A91,CONG_VIEC!$S$6:$S$305,0)),"")</f>
        <v/>
      </c>
      <c r="H91" s="20" t="str">
        <f aca="false">IFERROR(INDEX(CONG_VIEC!$K$6:$K$305,MATCH(A91,CONG_VIEC!$S$6:$S$305,0))&amp;"","")</f>
        <v/>
      </c>
      <c r="I91" s="21" t="str">
        <f aca="false">IFERROR(INDEX(CONG_VIEC!$P$6:$P$305,MATCH(A91,CONG_VIEC!$S$6:$S$305,0))&amp;"","")</f>
        <v/>
      </c>
    </row>
    <row r="92" customFormat="false" ht="15" hidden="false" customHeight="false" outlineLevel="0" collapsed="false">
      <c r="A92" s="24" t="n">
        <v>87</v>
      </c>
      <c r="B92" s="20" t="str">
        <f aca="false">IFERROR(INDEX(CONG_VIEC!$A$6:$A$305,MATCH(A92,CONG_VIEC!$S$6:$S$305,0))&amp;"","")</f>
        <v/>
      </c>
      <c r="C92" s="25" t="str">
        <f aca="false">IFERROR(INDEX(CONG_VIEC!$C$6:$C$305,MATCH(A92,CONG_VIEC!$S$6:$S$305,0))&amp;"","")</f>
        <v/>
      </c>
      <c r="D92" s="20" t="str">
        <f aca="false">IFERROR(INDEX(CONG_VIEC!$D$6:$D$305,MATCH(A92,CONG_VIEC!$S$6:$S$305,0))&amp;"","")</f>
        <v/>
      </c>
      <c r="E92" s="20" t="str">
        <f aca="false">IFERROR(INDEX(CONG_VIEC!$F$6:$F$305,MATCH(A92,CONG_VIEC!$S$6:$S$305,0))&amp;"","")</f>
        <v/>
      </c>
      <c r="F92" s="26" t="str">
        <f aca="false">IFERROR(INDEX(CONG_VIEC!$J$6:$J$305,MATCH(A92,CONG_VIEC!$S$6:$S$305,0)),"")</f>
        <v/>
      </c>
      <c r="G92" s="20" t="str">
        <f aca="false">IFERROR(INDEX(CONG_VIEC!$O$6:$O$305,MATCH(A92,CONG_VIEC!$S$6:$S$305,0)),"")</f>
        <v/>
      </c>
      <c r="H92" s="20" t="str">
        <f aca="false">IFERROR(INDEX(CONG_VIEC!$K$6:$K$305,MATCH(A92,CONG_VIEC!$S$6:$S$305,0))&amp;"","")</f>
        <v/>
      </c>
      <c r="I92" s="21" t="str">
        <f aca="false">IFERROR(INDEX(CONG_VIEC!$P$6:$P$305,MATCH(A92,CONG_VIEC!$S$6:$S$305,0))&amp;"","")</f>
        <v/>
      </c>
    </row>
    <row r="93" customFormat="false" ht="15" hidden="false" customHeight="false" outlineLevel="0" collapsed="false">
      <c r="A93" s="24" t="n">
        <v>88</v>
      </c>
      <c r="B93" s="20" t="str">
        <f aca="false">IFERROR(INDEX(CONG_VIEC!$A$6:$A$305,MATCH(A93,CONG_VIEC!$S$6:$S$305,0))&amp;"","")</f>
        <v/>
      </c>
      <c r="C93" s="25" t="str">
        <f aca="false">IFERROR(INDEX(CONG_VIEC!$C$6:$C$305,MATCH(A93,CONG_VIEC!$S$6:$S$305,0))&amp;"","")</f>
        <v/>
      </c>
      <c r="D93" s="20" t="str">
        <f aca="false">IFERROR(INDEX(CONG_VIEC!$D$6:$D$305,MATCH(A93,CONG_VIEC!$S$6:$S$305,0))&amp;"","")</f>
        <v/>
      </c>
      <c r="E93" s="20" t="str">
        <f aca="false">IFERROR(INDEX(CONG_VIEC!$F$6:$F$305,MATCH(A93,CONG_VIEC!$S$6:$S$305,0))&amp;"","")</f>
        <v/>
      </c>
      <c r="F93" s="26" t="str">
        <f aca="false">IFERROR(INDEX(CONG_VIEC!$J$6:$J$305,MATCH(A93,CONG_VIEC!$S$6:$S$305,0)),"")</f>
        <v/>
      </c>
      <c r="G93" s="20" t="str">
        <f aca="false">IFERROR(INDEX(CONG_VIEC!$O$6:$O$305,MATCH(A93,CONG_VIEC!$S$6:$S$305,0)),"")</f>
        <v/>
      </c>
      <c r="H93" s="20" t="str">
        <f aca="false">IFERROR(INDEX(CONG_VIEC!$K$6:$K$305,MATCH(A93,CONG_VIEC!$S$6:$S$305,0))&amp;"","")</f>
        <v/>
      </c>
      <c r="I93" s="21" t="str">
        <f aca="false">IFERROR(INDEX(CONG_VIEC!$P$6:$P$305,MATCH(A93,CONG_VIEC!$S$6:$S$305,0))&amp;"","")</f>
        <v/>
      </c>
    </row>
    <row r="94" customFormat="false" ht="15" hidden="false" customHeight="false" outlineLevel="0" collapsed="false">
      <c r="A94" s="24" t="n">
        <v>89</v>
      </c>
      <c r="B94" s="20" t="str">
        <f aca="false">IFERROR(INDEX(CONG_VIEC!$A$6:$A$305,MATCH(A94,CONG_VIEC!$S$6:$S$305,0))&amp;"","")</f>
        <v/>
      </c>
      <c r="C94" s="25" t="str">
        <f aca="false">IFERROR(INDEX(CONG_VIEC!$C$6:$C$305,MATCH(A94,CONG_VIEC!$S$6:$S$305,0))&amp;"","")</f>
        <v/>
      </c>
      <c r="D94" s="20" t="str">
        <f aca="false">IFERROR(INDEX(CONG_VIEC!$D$6:$D$305,MATCH(A94,CONG_VIEC!$S$6:$S$305,0))&amp;"","")</f>
        <v/>
      </c>
      <c r="E94" s="20" t="str">
        <f aca="false">IFERROR(INDEX(CONG_VIEC!$F$6:$F$305,MATCH(A94,CONG_VIEC!$S$6:$S$305,0))&amp;"","")</f>
        <v/>
      </c>
      <c r="F94" s="26" t="str">
        <f aca="false">IFERROR(INDEX(CONG_VIEC!$J$6:$J$305,MATCH(A94,CONG_VIEC!$S$6:$S$305,0)),"")</f>
        <v/>
      </c>
      <c r="G94" s="20" t="str">
        <f aca="false">IFERROR(INDEX(CONG_VIEC!$O$6:$O$305,MATCH(A94,CONG_VIEC!$S$6:$S$305,0)),"")</f>
        <v/>
      </c>
      <c r="H94" s="20" t="str">
        <f aca="false">IFERROR(INDEX(CONG_VIEC!$K$6:$K$305,MATCH(A94,CONG_VIEC!$S$6:$S$305,0))&amp;"","")</f>
        <v/>
      </c>
      <c r="I94" s="21" t="str">
        <f aca="false">IFERROR(INDEX(CONG_VIEC!$P$6:$P$305,MATCH(A94,CONG_VIEC!$S$6:$S$305,0))&amp;"","")</f>
        <v/>
      </c>
    </row>
    <row r="95" customFormat="false" ht="15" hidden="false" customHeight="false" outlineLevel="0" collapsed="false">
      <c r="A95" s="24" t="n">
        <v>90</v>
      </c>
      <c r="B95" s="20" t="str">
        <f aca="false">IFERROR(INDEX(CONG_VIEC!$A$6:$A$305,MATCH(A95,CONG_VIEC!$S$6:$S$305,0))&amp;"","")</f>
        <v/>
      </c>
      <c r="C95" s="25" t="str">
        <f aca="false">IFERROR(INDEX(CONG_VIEC!$C$6:$C$305,MATCH(A95,CONG_VIEC!$S$6:$S$305,0))&amp;"","")</f>
        <v/>
      </c>
      <c r="D95" s="20" t="str">
        <f aca="false">IFERROR(INDEX(CONG_VIEC!$D$6:$D$305,MATCH(A95,CONG_VIEC!$S$6:$S$305,0))&amp;"","")</f>
        <v/>
      </c>
      <c r="E95" s="20" t="str">
        <f aca="false">IFERROR(INDEX(CONG_VIEC!$F$6:$F$305,MATCH(A95,CONG_VIEC!$S$6:$S$305,0))&amp;"","")</f>
        <v/>
      </c>
      <c r="F95" s="26" t="str">
        <f aca="false">IFERROR(INDEX(CONG_VIEC!$J$6:$J$305,MATCH(A95,CONG_VIEC!$S$6:$S$305,0)),"")</f>
        <v/>
      </c>
      <c r="G95" s="20" t="str">
        <f aca="false">IFERROR(INDEX(CONG_VIEC!$O$6:$O$305,MATCH(A95,CONG_VIEC!$S$6:$S$305,0)),"")</f>
        <v/>
      </c>
      <c r="H95" s="20" t="str">
        <f aca="false">IFERROR(INDEX(CONG_VIEC!$K$6:$K$305,MATCH(A95,CONG_VIEC!$S$6:$S$305,0))&amp;"","")</f>
        <v/>
      </c>
      <c r="I95" s="21" t="str">
        <f aca="false">IFERROR(INDEX(CONG_VIEC!$P$6:$P$305,MATCH(A95,CONG_VIEC!$S$6:$S$305,0))&amp;"","")</f>
        <v/>
      </c>
    </row>
    <row r="96" customFormat="false" ht="15" hidden="false" customHeight="false" outlineLevel="0" collapsed="false">
      <c r="A96" s="24" t="n">
        <v>91</v>
      </c>
      <c r="B96" s="20" t="str">
        <f aca="false">IFERROR(INDEX(CONG_VIEC!$A$6:$A$305,MATCH(A96,CONG_VIEC!$S$6:$S$305,0))&amp;"","")</f>
        <v/>
      </c>
      <c r="C96" s="25" t="str">
        <f aca="false">IFERROR(INDEX(CONG_VIEC!$C$6:$C$305,MATCH(A96,CONG_VIEC!$S$6:$S$305,0))&amp;"","")</f>
        <v/>
      </c>
      <c r="D96" s="20" t="str">
        <f aca="false">IFERROR(INDEX(CONG_VIEC!$D$6:$D$305,MATCH(A96,CONG_VIEC!$S$6:$S$305,0))&amp;"","")</f>
        <v/>
      </c>
      <c r="E96" s="20" t="str">
        <f aca="false">IFERROR(INDEX(CONG_VIEC!$F$6:$F$305,MATCH(A96,CONG_VIEC!$S$6:$S$305,0))&amp;"","")</f>
        <v/>
      </c>
      <c r="F96" s="26" t="str">
        <f aca="false">IFERROR(INDEX(CONG_VIEC!$J$6:$J$305,MATCH(A96,CONG_VIEC!$S$6:$S$305,0)),"")</f>
        <v/>
      </c>
      <c r="G96" s="20" t="str">
        <f aca="false">IFERROR(INDEX(CONG_VIEC!$O$6:$O$305,MATCH(A96,CONG_VIEC!$S$6:$S$305,0)),"")</f>
        <v/>
      </c>
      <c r="H96" s="20" t="str">
        <f aca="false">IFERROR(INDEX(CONG_VIEC!$K$6:$K$305,MATCH(A96,CONG_VIEC!$S$6:$S$305,0))&amp;"","")</f>
        <v/>
      </c>
      <c r="I96" s="21" t="str">
        <f aca="false">IFERROR(INDEX(CONG_VIEC!$P$6:$P$305,MATCH(A96,CONG_VIEC!$S$6:$S$305,0))&amp;"","")</f>
        <v/>
      </c>
    </row>
    <row r="97" customFormat="false" ht="15" hidden="false" customHeight="false" outlineLevel="0" collapsed="false">
      <c r="A97" s="24" t="n">
        <v>92</v>
      </c>
      <c r="B97" s="20" t="str">
        <f aca="false">IFERROR(INDEX(CONG_VIEC!$A$6:$A$305,MATCH(A97,CONG_VIEC!$S$6:$S$305,0))&amp;"","")</f>
        <v/>
      </c>
      <c r="C97" s="25" t="str">
        <f aca="false">IFERROR(INDEX(CONG_VIEC!$C$6:$C$305,MATCH(A97,CONG_VIEC!$S$6:$S$305,0))&amp;"","")</f>
        <v/>
      </c>
      <c r="D97" s="20" t="str">
        <f aca="false">IFERROR(INDEX(CONG_VIEC!$D$6:$D$305,MATCH(A97,CONG_VIEC!$S$6:$S$305,0))&amp;"","")</f>
        <v/>
      </c>
      <c r="E97" s="20" t="str">
        <f aca="false">IFERROR(INDEX(CONG_VIEC!$F$6:$F$305,MATCH(A97,CONG_VIEC!$S$6:$S$305,0))&amp;"","")</f>
        <v/>
      </c>
      <c r="F97" s="26" t="str">
        <f aca="false">IFERROR(INDEX(CONG_VIEC!$J$6:$J$305,MATCH(A97,CONG_VIEC!$S$6:$S$305,0)),"")</f>
        <v/>
      </c>
      <c r="G97" s="20" t="str">
        <f aca="false">IFERROR(INDEX(CONG_VIEC!$O$6:$O$305,MATCH(A97,CONG_VIEC!$S$6:$S$305,0)),"")</f>
        <v/>
      </c>
      <c r="H97" s="20" t="str">
        <f aca="false">IFERROR(INDEX(CONG_VIEC!$K$6:$K$305,MATCH(A97,CONG_VIEC!$S$6:$S$305,0))&amp;"","")</f>
        <v/>
      </c>
      <c r="I97" s="21" t="str">
        <f aca="false">IFERROR(INDEX(CONG_VIEC!$P$6:$P$305,MATCH(A97,CONG_VIEC!$S$6:$S$305,0))&amp;"","")</f>
        <v/>
      </c>
    </row>
    <row r="98" customFormat="false" ht="15" hidden="false" customHeight="false" outlineLevel="0" collapsed="false">
      <c r="A98" s="24" t="n">
        <v>93</v>
      </c>
      <c r="B98" s="20" t="str">
        <f aca="false">IFERROR(INDEX(CONG_VIEC!$A$6:$A$305,MATCH(A98,CONG_VIEC!$S$6:$S$305,0))&amp;"","")</f>
        <v/>
      </c>
      <c r="C98" s="25" t="str">
        <f aca="false">IFERROR(INDEX(CONG_VIEC!$C$6:$C$305,MATCH(A98,CONG_VIEC!$S$6:$S$305,0))&amp;"","")</f>
        <v/>
      </c>
      <c r="D98" s="20" t="str">
        <f aca="false">IFERROR(INDEX(CONG_VIEC!$D$6:$D$305,MATCH(A98,CONG_VIEC!$S$6:$S$305,0))&amp;"","")</f>
        <v/>
      </c>
      <c r="E98" s="20" t="str">
        <f aca="false">IFERROR(INDEX(CONG_VIEC!$F$6:$F$305,MATCH(A98,CONG_VIEC!$S$6:$S$305,0))&amp;"","")</f>
        <v/>
      </c>
      <c r="F98" s="26" t="str">
        <f aca="false">IFERROR(INDEX(CONG_VIEC!$J$6:$J$305,MATCH(A98,CONG_VIEC!$S$6:$S$305,0)),"")</f>
        <v/>
      </c>
      <c r="G98" s="20" t="str">
        <f aca="false">IFERROR(INDEX(CONG_VIEC!$O$6:$O$305,MATCH(A98,CONG_VIEC!$S$6:$S$305,0)),"")</f>
        <v/>
      </c>
      <c r="H98" s="20" t="str">
        <f aca="false">IFERROR(INDEX(CONG_VIEC!$K$6:$K$305,MATCH(A98,CONG_VIEC!$S$6:$S$305,0))&amp;"","")</f>
        <v/>
      </c>
      <c r="I98" s="21" t="str">
        <f aca="false">IFERROR(INDEX(CONG_VIEC!$P$6:$P$305,MATCH(A98,CONG_VIEC!$S$6:$S$305,0))&amp;"","")</f>
        <v/>
      </c>
    </row>
    <row r="99" customFormat="false" ht="15" hidden="false" customHeight="false" outlineLevel="0" collapsed="false">
      <c r="A99" s="24" t="n">
        <v>94</v>
      </c>
      <c r="B99" s="20" t="str">
        <f aca="false">IFERROR(INDEX(CONG_VIEC!$A$6:$A$305,MATCH(A99,CONG_VIEC!$S$6:$S$305,0))&amp;"","")</f>
        <v/>
      </c>
      <c r="C99" s="25" t="str">
        <f aca="false">IFERROR(INDEX(CONG_VIEC!$C$6:$C$305,MATCH(A99,CONG_VIEC!$S$6:$S$305,0))&amp;"","")</f>
        <v/>
      </c>
      <c r="D99" s="20" t="str">
        <f aca="false">IFERROR(INDEX(CONG_VIEC!$D$6:$D$305,MATCH(A99,CONG_VIEC!$S$6:$S$305,0))&amp;"","")</f>
        <v/>
      </c>
      <c r="E99" s="20" t="str">
        <f aca="false">IFERROR(INDEX(CONG_VIEC!$F$6:$F$305,MATCH(A99,CONG_VIEC!$S$6:$S$305,0))&amp;"","")</f>
        <v/>
      </c>
      <c r="F99" s="26" t="str">
        <f aca="false">IFERROR(INDEX(CONG_VIEC!$J$6:$J$305,MATCH(A99,CONG_VIEC!$S$6:$S$305,0)),"")</f>
        <v/>
      </c>
      <c r="G99" s="20" t="str">
        <f aca="false">IFERROR(INDEX(CONG_VIEC!$O$6:$O$305,MATCH(A99,CONG_VIEC!$S$6:$S$305,0)),"")</f>
        <v/>
      </c>
      <c r="H99" s="20" t="str">
        <f aca="false">IFERROR(INDEX(CONG_VIEC!$K$6:$K$305,MATCH(A99,CONG_VIEC!$S$6:$S$305,0))&amp;"","")</f>
        <v/>
      </c>
      <c r="I99" s="21" t="str">
        <f aca="false">IFERROR(INDEX(CONG_VIEC!$P$6:$P$305,MATCH(A99,CONG_VIEC!$S$6:$S$305,0))&amp;"","")</f>
        <v/>
      </c>
    </row>
    <row r="100" customFormat="false" ht="15" hidden="false" customHeight="false" outlineLevel="0" collapsed="false">
      <c r="A100" s="24" t="n">
        <v>95</v>
      </c>
      <c r="B100" s="20" t="str">
        <f aca="false">IFERROR(INDEX(CONG_VIEC!$A$6:$A$305,MATCH(A100,CONG_VIEC!$S$6:$S$305,0))&amp;"","")</f>
        <v/>
      </c>
      <c r="C100" s="25" t="str">
        <f aca="false">IFERROR(INDEX(CONG_VIEC!$C$6:$C$305,MATCH(A100,CONG_VIEC!$S$6:$S$305,0))&amp;"","")</f>
        <v/>
      </c>
      <c r="D100" s="20" t="str">
        <f aca="false">IFERROR(INDEX(CONG_VIEC!$D$6:$D$305,MATCH(A100,CONG_VIEC!$S$6:$S$305,0))&amp;"","")</f>
        <v/>
      </c>
      <c r="E100" s="20" t="str">
        <f aca="false">IFERROR(INDEX(CONG_VIEC!$F$6:$F$305,MATCH(A100,CONG_VIEC!$S$6:$S$305,0))&amp;"","")</f>
        <v/>
      </c>
      <c r="F100" s="26" t="str">
        <f aca="false">IFERROR(INDEX(CONG_VIEC!$J$6:$J$305,MATCH(A100,CONG_VIEC!$S$6:$S$305,0)),"")</f>
        <v/>
      </c>
      <c r="G100" s="20" t="str">
        <f aca="false">IFERROR(INDEX(CONG_VIEC!$O$6:$O$305,MATCH(A100,CONG_VIEC!$S$6:$S$305,0)),"")</f>
        <v/>
      </c>
      <c r="H100" s="20" t="str">
        <f aca="false">IFERROR(INDEX(CONG_VIEC!$K$6:$K$305,MATCH(A100,CONG_VIEC!$S$6:$S$305,0))&amp;"","")</f>
        <v/>
      </c>
      <c r="I100" s="21" t="str">
        <f aca="false">IFERROR(INDEX(CONG_VIEC!$P$6:$P$305,MATCH(A100,CONG_VIEC!$S$6:$S$305,0))&amp;"","")</f>
        <v/>
      </c>
    </row>
    <row r="101" customFormat="false" ht="15" hidden="false" customHeight="false" outlineLevel="0" collapsed="false">
      <c r="A101" s="24" t="n">
        <v>96</v>
      </c>
      <c r="B101" s="20" t="str">
        <f aca="false">IFERROR(INDEX(CONG_VIEC!$A$6:$A$305,MATCH(A101,CONG_VIEC!$S$6:$S$305,0))&amp;"","")</f>
        <v/>
      </c>
      <c r="C101" s="25" t="str">
        <f aca="false">IFERROR(INDEX(CONG_VIEC!$C$6:$C$305,MATCH(A101,CONG_VIEC!$S$6:$S$305,0))&amp;"","")</f>
        <v/>
      </c>
      <c r="D101" s="20" t="str">
        <f aca="false">IFERROR(INDEX(CONG_VIEC!$D$6:$D$305,MATCH(A101,CONG_VIEC!$S$6:$S$305,0))&amp;"","")</f>
        <v/>
      </c>
      <c r="E101" s="20" t="str">
        <f aca="false">IFERROR(INDEX(CONG_VIEC!$F$6:$F$305,MATCH(A101,CONG_VIEC!$S$6:$S$305,0))&amp;"","")</f>
        <v/>
      </c>
      <c r="F101" s="26" t="str">
        <f aca="false">IFERROR(INDEX(CONG_VIEC!$J$6:$J$305,MATCH(A101,CONG_VIEC!$S$6:$S$305,0)),"")</f>
        <v/>
      </c>
      <c r="G101" s="20" t="str">
        <f aca="false">IFERROR(INDEX(CONG_VIEC!$O$6:$O$305,MATCH(A101,CONG_VIEC!$S$6:$S$305,0)),"")</f>
        <v/>
      </c>
      <c r="H101" s="20" t="str">
        <f aca="false">IFERROR(INDEX(CONG_VIEC!$K$6:$K$305,MATCH(A101,CONG_VIEC!$S$6:$S$305,0))&amp;"","")</f>
        <v/>
      </c>
      <c r="I101" s="21" t="str">
        <f aca="false">IFERROR(INDEX(CONG_VIEC!$P$6:$P$305,MATCH(A101,CONG_VIEC!$S$6:$S$305,0))&amp;"","")</f>
        <v/>
      </c>
    </row>
    <row r="102" customFormat="false" ht="15" hidden="false" customHeight="false" outlineLevel="0" collapsed="false">
      <c r="A102" s="24" t="n">
        <v>97</v>
      </c>
      <c r="B102" s="20" t="str">
        <f aca="false">IFERROR(INDEX(CONG_VIEC!$A$6:$A$305,MATCH(A102,CONG_VIEC!$S$6:$S$305,0))&amp;"","")</f>
        <v/>
      </c>
      <c r="C102" s="25" t="str">
        <f aca="false">IFERROR(INDEX(CONG_VIEC!$C$6:$C$305,MATCH(A102,CONG_VIEC!$S$6:$S$305,0))&amp;"","")</f>
        <v/>
      </c>
      <c r="D102" s="20" t="str">
        <f aca="false">IFERROR(INDEX(CONG_VIEC!$D$6:$D$305,MATCH(A102,CONG_VIEC!$S$6:$S$305,0))&amp;"","")</f>
        <v/>
      </c>
      <c r="E102" s="20" t="str">
        <f aca="false">IFERROR(INDEX(CONG_VIEC!$F$6:$F$305,MATCH(A102,CONG_VIEC!$S$6:$S$305,0))&amp;"","")</f>
        <v/>
      </c>
      <c r="F102" s="26" t="str">
        <f aca="false">IFERROR(INDEX(CONG_VIEC!$J$6:$J$305,MATCH(A102,CONG_VIEC!$S$6:$S$305,0)),"")</f>
        <v/>
      </c>
      <c r="G102" s="20" t="str">
        <f aca="false">IFERROR(INDEX(CONG_VIEC!$O$6:$O$305,MATCH(A102,CONG_VIEC!$S$6:$S$305,0)),"")</f>
        <v/>
      </c>
      <c r="H102" s="20" t="str">
        <f aca="false">IFERROR(INDEX(CONG_VIEC!$K$6:$K$305,MATCH(A102,CONG_VIEC!$S$6:$S$305,0))&amp;"","")</f>
        <v/>
      </c>
      <c r="I102" s="21" t="str">
        <f aca="false">IFERROR(INDEX(CONG_VIEC!$P$6:$P$305,MATCH(A102,CONG_VIEC!$S$6:$S$305,0))&amp;"","")</f>
        <v/>
      </c>
    </row>
    <row r="103" customFormat="false" ht="15" hidden="false" customHeight="false" outlineLevel="0" collapsed="false">
      <c r="A103" s="24" t="n">
        <v>98</v>
      </c>
      <c r="B103" s="20" t="str">
        <f aca="false">IFERROR(INDEX(CONG_VIEC!$A$6:$A$305,MATCH(A103,CONG_VIEC!$S$6:$S$305,0))&amp;"","")</f>
        <v/>
      </c>
      <c r="C103" s="25" t="str">
        <f aca="false">IFERROR(INDEX(CONG_VIEC!$C$6:$C$305,MATCH(A103,CONG_VIEC!$S$6:$S$305,0))&amp;"","")</f>
        <v/>
      </c>
      <c r="D103" s="20" t="str">
        <f aca="false">IFERROR(INDEX(CONG_VIEC!$D$6:$D$305,MATCH(A103,CONG_VIEC!$S$6:$S$305,0))&amp;"","")</f>
        <v/>
      </c>
      <c r="E103" s="20" t="str">
        <f aca="false">IFERROR(INDEX(CONG_VIEC!$F$6:$F$305,MATCH(A103,CONG_VIEC!$S$6:$S$305,0))&amp;"","")</f>
        <v/>
      </c>
      <c r="F103" s="26" t="str">
        <f aca="false">IFERROR(INDEX(CONG_VIEC!$J$6:$J$305,MATCH(A103,CONG_VIEC!$S$6:$S$305,0)),"")</f>
        <v/>
      </c>
      <c r="G103" s="20" t="str">
        <f aca="false">IFERROR(INDEX(CONG_VIEC!$O$6:$O$305,MATCH(A103,CONG_VIEC!$S$6:$S$305,0)),"")</f>
        <v/>
      </c>
      <c r="H103" s="20" t="str">
        <f aca="false">IFERROR(INDEX(CONG_VIEC!$K$6:$K$305,MATCH(A103,CONG_VIEC!$S$6:$S$305,0))&amp;"","")</f>
        <v/>
      </c>
      <c r="I103" s="21" t="str">
        <f aca="false">IFERROR(INDEX(CONG_VIEC!$P$6:$P$305,MATCH(A103,CONG_VIEC!$S$6:$S$305,0))&amp;"","")</f>
        <v/>
      </c>
    </row>
    <row r="104" customFormat="false" ht="15" hidden="false" customHeight="false" outlineLevel="0" collapsed="false">
      <c r="A104" s="24" t="n">
        <v>99</v>
      </c>
      <c r="B104" s="20" t="str">
        <f aca="false">IFERROR(INDEX(CONG_VIEC!$A$6:$A$305,MATCH(A104,CONG_VIEC!$S$6:$S$305,0))&amp;"","")</f>
        <v/>
      </c>
      <c r="C104" s="25" t="str">
        <f aca="false">IFERROR(INDEX(CONG_VIEC!$C$6:$C$305,MATCH(A104,CONG_VIEC!$S$6:$S$305,0))&amp;"","")</f>
        <v/>
      </c>
      <c r="D104" s="20" t="str">
        <f aca="false">IFERROR(INDEX(CONG_VIEC!$D$6:$D$305,MATCH(A104,CONG_VIEC!$S$6:$S$305,0))&amp;"","")</f>
        <v/>
      </c>
      <c r="E104" s="20" t="str">
        <f aca="false">IFERROR(INDEX(CONG_VIEC!$F$6:$F$305,MATCH(A104,CONG_VIEC!$S$6:$S$305,0))&amp;"","")</f>
        <v/>
      </c>
      <c r="F104" s="26" t="str">
        <f aca="false">IFERROR(INDEX(CONG_VIEC!$J$6:$J$305,MATCH(A104,CONG_VIEC!$S$6:$S$305,0)),"")</f>
        <v/>
      </c>
      <c r="G104" s="20" t="str">
        <f aca="false">IFERROR(INDEX(CONG_VIEC!$O$6:$O$305,MATCH(A104,CONG_VIEC!$S$6:$S$305,0)),"")</f>
        <v/>
      </c>
      <c r="H104" s="20" t="str">
        <f aca="false">IFERROR(INDEX(CONG_VIEC!$K$6:$K$305,MATCH(A104,CONG_VIEC!$S$6:$S$305,0))&amp;"","")</f>
        <v/>
      </c>
      <c r="I104" s="21" t="str">
        <f aca="false">IFERROR(INDEX(CONG_VIEC!$P$6:$P$305,MATCH(A104,CONG_VIEC!$S$6:$S$305,0))&amp;"","")</f>
        <v/>
      </c>
    </row>
    <row r="105" customFormat="false" ht="15" hidden="false" customHeight="false" outlineLevel="0" collapsed="false">
      <c r="A105" s="24" t="n">
        <v>100</v>
      </c>
      <c r="B105" s="20" t="str">
        <f aca="false">IFERROR(INDEX(CONG_VIEC!$A$6:$A$305,MATCH(A105,CONG_VIEC!$S$6:$S$305,0))&amp;"","")</f>
        <v/>
      </c>
      <c r="C105" s="25" t="str">
        <f aca="false">IFERROR(INDEX(CONG_VIEC!$C$6:$C$305,MATCH(A105,CONG_VIEC!$S$6:$S$305,0))&amp;"","")</f>
        <v/>
      </c>
      <c r="D105" s="20" t="str">
        <f aca="false">IFERROR(INDEX(CONG_VIEC!$D$6:$D$305,MATCH(A105,CONG_VIEC!$S$6:$S$305,0))&amp;"","")</f>
        <v/>
      </c>
      <c r="E105" s="20" t="str">
        <f aca="false">IFERROR(INDEX(CONG_VIEC!$F$6:$F$305,MATCH(A105,CONG_VIEC!$S$6:$S$305,0))&amp;"","")</f>
        <v/>
      </c>
      <c r="F105" s="26" t="str">
        <f aca="false">IFERROR(INDEX(CONG_VIEC!$J$6:$J$305,MATCH(A105,CONG_VIEC!$S$6:$S$305,0)),"")</f>
        <v/>
      </c>
      <c r="G105" s="20" t="str">
        <f aca="false">IFERROR(INDEX(CONG_VIEC!$O$6:$O$305,MATCH(A105,CONG_VIEC!$S$6:$S$305,0)),"")</f>
        <v/>
      </c>
      <c r="H105" s="20" t="str">
        <f aca="false">IFERROR(INDEX(CONG_VIEC!$K$6:$K$305,MATCH(A105,CONG_VIEC!$S$6:$S$305,0))&amp;"","")</f>
        <v/>
      </c>
      <c r="I105" s="21" t="str">
        <f aca="false">IFERROR(INDEX(CONG_VIEC!$P$6:$P$305,MATCH(A105,CONG_VIEC!$S$6:$S$305,0))&amp;"","")</f>
        <v/>
      </c>
    </row>
  </sheetData>
  <conditionalFormatting sqref="I6:I105">
    <cfRule type="cellIs" priority="2" operator="equal" aboveAverage="0" equalAverage="0" bottom="0" percent="0" rank="0" text="" dxfId="17">
      <formula>"Quá hạn"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2"/>
    <col collapsed="false" customWidth="true" hidden="false" outlineLevel="0" max="6" min="6" style="0" width="4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2"/>
    <col collapsed="false" customWidth="true" hidden="false" outlineLevel="0" max="11" min="11" style="0" width="4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2"/>
    <col collapsed="false" customWidth="true" hidden="false" outlineLevel="0" max="16" min="16" style="0" width="4"/>
    <col collapsed="false" customWidth="true" hidden="false" outlineLevel="0" max="17" min="17" style="0" width="30"/>
    <col collapsed="false" customWidth="true" hidden="false" outlineLevel="0" max="18" min="18" style="0" width="16"/>
    <col collapsed="false" customWidth="true" hidden="false" outlineLevel="0" max="19" min="19" style="0" width="11"/>
    <col collapsed="false" customWidth="true" hidden="false" outlineLevel="0" max="20" min="20" style="0" width="2"/>
  </cols>
  <sheetData>
    <row r="1" customFormat="false" ht="19.7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13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false" outlineLevel="0" collapsed="false">
      <c r="A4" s="15" t="str">
        <f aca="false">"CHƯA LÀM ("&amp;COUNT(CONG_VIEC!$T$6:$T$305)&amp;")"</f>
        <v>CHƯA LÀM (2)</v>
      </c>
      <c r="B4" s="15"/>
      <c r="C4" s="15"/>
      <c r="D4" s="15"/>
      <c r="E4" s="2"/>
      <c r="F4" s="15" t="str">
        <f aca="false">"ĐANG LÀM ("&amp;COUNT(CONG_VIEC!$U$6:$U$305)&amp;")"</f>
        <v>ĐANG LÀM (1)</v>
      </c>
      <c r="G4" s="15"/>
      <c r="H4" s="15"/>
      <c r="I4" s="15"/>
      <c r="J4" s="2"/>
      <c r="K4" s="15" t="str">
        <f aca="false">"CHỜ DUYỆT ("&amp;COUNT(CONG_VIEC!$V$6:$V$305)&amp;")"</f>
        <v>CHỜ DUYỆT (1)</v>
      </c>
      <c r="L4" s="15"/>
      <c r="M4" s="15"/>
      <c r="N4" s="15"/>
      <c r="O4" s="2"/>
      <c r="P4" s="15" t="str">
        <f aca="false">"HOÀN THÀNH ("&amp;COUNT(CONG_VIEC!$W$6:$W$305)&amp;")"</f>
        <v>HOÀN THÀNH (1)</v>
      </c>
      <c r="Q4" s="15"/>
      <c r="R4" s="15"/>
      <c r="S4" s="15"/>
    </row>
    <row r="5" customFormat="false" ht="15" hidden="false" customHeight="false" outlineLevel="0" collapsed="false">
      <c r="A5" s="8" t="s">
        <v>70</v>
      </c>
      <c r="B5" s="6" t="s">
        <v>6</v>
      </c>
      <c r="C5" s="6" t="s">
        <v>76</v>
      </c>
      <c r="D5" s="6" t="s">
        <v>72</v>
      </c>
      <c r="E5" s="2"/>
      <c r="F5" s="8" t="s">
        <v>70</v>
      </c>
      <c r="G5" s="6" t="s">
        <v>6</v>
      </c>
      <c r="H5" s="6" t="s">
        <v>76</v>
      </c>
      <c r="I5" s="6" t="s">
        <v>72</v>
      </c>
      <c r="J5" s="2"/>
      <c r="K5" s="8" t="s">
        <v>70</v>
      </c>
      <c r="L5" s="6" t="s">
        <v>6</v>
      </c>
      <c r="M5" s="6" t="s">
        <v>76</v>
      </c>
      <c r="N5" s="6" t="s">
        <v>72</v>
      </c>
      <c r="O5" s="2"/>
      <c r="P5" s="8" t="s">
        <v>70</v>
      </c>
      <c r="Q5" s="6" t="s">
        <v>6</v>
      </c>
      <c r="R5" s="6" t="s">
        <v>76</v>
      </c>
      <c r="S5" s="6" t="s">
        <v>72</v>
      </c>
    </row>
    <row r="6" customFormat="false" ht="23.85" hidden="false" customHeight="false" outlineLevel="0" collapsed="false">
      <c r="A6" s="24" t="n">
        <v>1</v>
      </c>
      <c r="B6" s="25" t="str">
        <f aca="false">IFERROR(INDEX(CONG_VIEC!$C$6:$C$305,MATCH(A6,CONG_VIEC!$T$6:$T$305,0))&amp;"","")</f>
        <v>[VÍ DỤ] Báo cáo tiến độ vệ sinh môi trường tháng 9</v>
      </c>
      <c r="C6" s="20" t="str">
        <f aca="false">IFERROR(INDEX(CONG_VIEC!$F$6:$F$305,MATCH(A6,CONG_VIEC!$T$6:$T$305,0))&amp;"","")</f>
        <v>Người 2 (sửa tên)</v>
      </c>
      <c r="D6" s="26" t="n">
        <f aca="false">IFERROR(INDEX(CONG_VIEC!$J$6:$J$305,MATCH(A6,CONG_VIEC!$T$6:$T$305,0)),"")</f>
        <v>46288</v>
      </c>
      <c r="E6" s="2"/>
      <c r="F6" s="24" t="n">
        <v>1</v>
      </c>
      <c r="G6" s="25" t="str">
        <f aca="false">IFERROR(INDEX(CONG_VIEC!$C$6:$C$305,MATCH(F6,CONG_VIEC!$U$6:$U$305,0))&amp;"","")</f>
        <v>[VÍ DỤ] Thu gom rác tồn đọng tuyến phố chính</v>
      </c>
      <c r="H6" s="20" t="str">
        <f aca="false">IFERROR(INDEX(CONG_VIEC!$F$6:$F$305,MATCH(F6,CONG_VIEC!$U$6:$U$305,0))&amp;"","")</f>
        <v>Người 1 (sửa tên)</v>
      </c>
      <c r="I6" s="26" t="n">
        <f aca="false">IFERROR(INDEX(CONG_VIEC!$J$6:$J$305,MATCH(F6,CONG_VIEC!$U$6:$U$305,0)),"")</f>
        <v>46286</v>
      </c>
      <c r="J6" s="2"/>
      <c r="K6" s="24" t="n">
        <v>1</v>
      </c>
      <c r="L6" s="25" t="str">
        <f aca="false">IFERROR(INDEX(CONG_VIEC!$C$6:$C$305,MATCH(K6,CONG_VIEC!$V$6:$V$305,0))&amp;"","")</f>
        <v>[VÍ DỤ] Sửa nắp hố ga bị vỡ theo phản ánh</v>
      </c>
      <c r="M6" s="20" t="str">
        <f aca="false">IFERROR(INDEX(CONG_VIEC!$F$6:$F$305,MATCH(K6,CONG_VIEC!$V$6:$V$305,0))&amp;"","")</f>
        <v>Người 3 (sửa tên)</v>
      </c>
      <c r="N6" s="26" t="n">
        <f aca="false">IFERROR(INDEX(CONG_VIEC!$J$6:$J$305,MATCH(K6,CONG_VIEC!$V$6:$V$305,0)),"")</f>
        <v>46290</v>
      </c>
      <c r="O6" s="2"/>
      <c r="P6" s="24" t="n">
        <v>1</v>
      </c>
      <c r="Q6" s="25" t="str">
        <f aca="false">IFERROR(INDEX(CONG_VIEC!$C$6:$C$305,MATCH(P6,CONG_VIEC!$W$6:$W$305,0))&amp;"","")</f>
        <v>[VÍ DỤ] Phun rửa đường sau sự kiện</v>
      </c>
      <c r="R6" s="20" t="str">
        <f aca="false">IFERROR(INDEX(CONG_VIEC!$F$6:$F$305,MATCH(P6,CONG_VIEC!$W$6:$W$305,0))&amp;"","")</f>
        <v>Người 1 (sửa tên)</v>
      </c>
      <c r="S6" s="26" t="n">
        <f aca="false">IFERROR(INDEX(CONG_VIEC!$J$6:$J$305,MATCH(P6,CONG_VIEC!$W$6:$W$305,0)),"")</f>
        <v>46284</v>
      </c>
    </row>
    <row r="7" customFormat="false" ht="15" hidden="false" customHeight="false" outlineLevel="0" collapsed="false">
      <c r="A7" s="24" t="n">
        <v>2</v>
      </c>
      <c r="B7" s="25" t="str">
        <f aca="false">IFERROR(INDEX(CONG_VIEC!$C$6:$C$305,MATCH(A7,CONG_VIEC!$T$6:$T$305,0))&amp;"","")</f>
        <v>[VÍ DỤ] Lập kế hoạch trồng cây xanh quý IV</v>
      </c>
      <c r="C7" s="20" t="str">
        <f aca="false">IFERROR(INDEX(CONG_VIEC!$F$6:$F$305,MATCH(A7,CONG_VIEC!$T$6:$T$305,0))&amp;"","")</f>
        <v>Người 4 (sửa tên)</v>
      </c>
      <c r="D7" s="26" t="n">
        <f aca="false">IFERROR(INDEX(CONG_VIEC!$J$6:$J$305,MATCH(A7,CONG_VIEC!$T$6:$T$305,0)),"")</f>
        <v>46302</v>
      </c>
      <c r="E7" s="2"/>
      <c r="F7" s="24" t="n">
        <v>2</v>
      </c>
      <c r="G7" s="25" t="str">
        <f aca="false">IFERROR(INDEX(CONG_VIEC!$C$6:$C$305,MATCH(F7,CONG_VIEC!$U$6:$U$305,0))&amp;"","")</f>
        <v/>
      </c>
      <c r="H7" s="20" t="str">
        <f aca="false">IFERROR(INDEX(CONG_VIEC!$F$6:$F$305,MATCH(F7,CONG_VIEC!$U$6:$U$305,0))&amp;"","")</f>
        <v/>
      </c>
      <c r="I7" s="26" t="str">
        <f aca="false">IFERROR(INDEX(CONG_VIEC!$J$6:$J$305,MATCH(F7,CONG_VIEC!$U$6:$U$305,0)),"")</f>
        <v/>
      </c>
      <c r="J7" s="2"/>
      <c r="K7" s="24" t="n">
        <v>2</v>
      </c>
      <c r="L7" s="25" t="str">
        <f aca="false">IFERROR(INDEX(CONG_VIEC!$C$6:$C$305,MATCH(K7,CONG_VIEC!$V$6:$V$305,0))&amp;"","")</f>
        <v/>
      </c>
      <c r="M7" s="20" t="str">
        <f aca="false">IFERROR(INDEX(CONG_VIEC!$F$6:$F$305,MATCH(K7,CONG_VIEC!$V$6:$V$305,0))&amp;"","")</f>
        <v/>
      </c>
      <c r="N7" s="26" t="str">
        <f aca="false">IFERROR(INDEX(CONG_VIEC!$J$6:$J$305,MATCH(K7,CONG_VIEC!$V$6:$V$305,0)),"")</f>
        <v/>
      </c>
      <c r="O7" s="2"/>
      <c r="P7" s="24" t="n">
        <v>2</v>
      </c>
      <c r="Q7" s="25" t="str">
        <f aca="false">IFERROR(INDEX(CONG_VIEC!$C$6:$C$305,MATCH(P7,CONG_VIEC!$W$6:$W$305,0))&amp;"","")</f>
        <v/>
      </c>
      <c r="R7" s="20" t="str">
        <f aca="false">IFERROR(INDEX(CONG_VIEC!$F$6:$F$305,MATCH(P7,CONG_VIEC!$W$6:$W$305,0))&amp;"","")</f>
        <v/>
      </c>
      <c r="S7" s="26" t="str">
        <f aca="false">IFERROR(INDEX(CONG_VIEC!$J$6:$J$305,MATCH(P7,CONG_VIEC!$W$6:$W$305,0)),"")</f>
        <v/>
      </c>
    </row>
    <row r="8" customFormat="false" ht="15" hidden="false" customHeight="false" outlineLevel="0" collapsed="false">
      <c r="A8" s="24" t="n">
        <v>3</v>
      </c>
      <c r="B8" s="25" t="str">
        <f aca="false">IFERROR(INDEX(CONG_VIEC!$C$6:$C$305,MATCH(A8,CONG_VIEC!$T$6:$T$305,0))&amp;"","")</f>
        <v/>
      </c>
      <c r="C8" s="20" t="str">
        <f aca="false">IFERROR(INDEX(CONG_VIEC!$F$6:$F$305,MATCH(A8,CONG_VIEC!$T$6:$T$305,0))&amp;"","")</f>
        <v/>
      </c>
      <c r="D8" s="26" t="str">
        <f aca="false">IFERROR(INDEX(CONG_VIEC!$J$6:$J$305,MATCH(A8,CONG_VIEC!$T$6:$T$305,0)),"")</f>
        <v/>
      </c>
      <c r="E8" s="2"/>
      <c r="F8" s="24" t="n">
        <v>3</v>
      </c>
      <c r="G8" s="25" t="str">
        <f aca="false">IFERROR(INDEX(CONG_VIEC!$C$6:$C$305,MATCH(F8,CONG_VIEC!$U$6:$U$305,0))&amp;"","")</f>
        <v/>
      </c>
      <c r="H8" s="20" t="str">
        <f aca="false">IFERROR(INDEX(CONG_VIEC!$F$6:$F$305,MATCH(F8,CONG_VIEC!$U$6:$U$305,0))&amp;"","")</f>
        <v/>
      </c>
      <c r="I8" s="26" t="str">
        <f aca="false">IFERROR(INDEX(CONG_VIEC!$J$6:$J$305,MATCH(F8,CONG_VIEC!$U$6:$U$305,0)),"")</f>
        <v/>
      </c>
      <c r="J8" s="2"/>
      <c r="K8" s="24" t="n">
        <v>3</v>
      </c>
      <c r="L8" s="25" t="str">
        <f aca="false">IFERROR(INDEX(CONG_VIEC!$C$6:$C$305,MATCH(K8,CONG_VIEC!$V$6:$V$305,0))&amp;"","")</f>
        <v/>
      </c>
      <c r="M8" s="20" t="str">
        <f aca="false">IFERROR(INDEX(CONG_VIEC!$F$6:$F$305,MATCH(K8,CONG_VIEC!$V$6:$V$305,0))&amp;"","")</f>
        <v/>
      </c>
      <c r="N8" s="26" t="str">
        <f aca="false">IFERROR(INDEX(CONG_VIEC!$J$6:$J$305,MATCH(K8,CONG_VIEC!$V$6:$V$305,0)),"")</f>
        <v/>
      </c>
      <c r="O8" s="2"/>
      <c r="P8" s="24" t="n">
        <v>3</v>
      </c>
      <c r="Q8" s="25" t="str">
        <f aca="false">IFERROR(INDEX(CONG_VIEC!$C$6:$C$305,MATCH(P8,CONG_VIEC!$W$6:$W$305,0))&amp;"","")</f>
        <v/>
      </c>
      <c r="R8" s="20" t="str">
        <f aca="false">IFERROR(INDEX(CONG_VIEC!$F$6:$F$305,MATCH(P8,CONG_VIEC!$W$6:$W$305,0))&amp;"","")</f>
        <v/>
      </c>
      <c r="S8" s="26" t="str">
        <f aca="false">IFERROR(INDEX(CONG_VIEC!$J$6:$J$305,MATCH(P8,CONG_VIEC!$W$6:$W$305,0)),"")</f>
        <v/>
      </c>
    </row>
    <row r="9" customFormat="false" ht="15" hidden="false" customHeight="false" outlineLevel="0" collapsed="false">
      <c r="A9" s="24" t="n">
        <v>4</v>
      </c>
      <c r="B9" s="25" t="str">
        <f aca="false">IFERROR(INDEX(CONG_VIEC!$C$6:$C$305,MATCH(A9,CONG_VIEC!$T$6:$T$305,0))&amp;"","")</f>
        <v/>
      </c>
      <c r="C9" s="20" t="str">
        <f aca="false">IFERROR(INDEX(CONG_VIEC!$F$6:$F$305,MATCH(A9,CONG_VIEC!$T$6:$T$305,0))&amp;"","")</f>
        <v/>
      </c>
      <c r="D9" s="26" t="str">
        <f aca="false">IFERROR(INDEX(CONG_VIEC!$J$6:$J$305,MATCH(A9,CONG_VIEC!$T$6:$T$305,0)),"")</f>
        <v/>
      </c>
      <c r="E9" s="2"/>
      <c r="F9" s="24" t="n">
        <v>4</v>
      </c>
      <c r="G9" s="25" t="str">
        <f aca="false">IFERROR(INDEX(CONG_VIEC!$C$6:$C$305,MATCH(F9,CONG_VIEC!$U$6:$U$305,0))&amp;"","")</f>
        <v/>
      </c>
      <c r="H9" s="20" t="str">
        <f aca="false">IFERROR(INDEX(CONG_VIEC!$F$6:$F$305,MATCH(F9,CONG_VIEC!$U$6:$U$305,0))&amp;"","")</f>
        <v/>
      </c>
      <c r="I9" s="26" t="str">
        <f aca="false">IFERROR(INDEX(CONG_VIEC!$J$6:$J$305,MATCH(F9,CONG_VIEC!$U$6:$U$305,0)),"")</f>
        <v/>
      </c>
      <c r="J9" s="2"/>
      <c r="K9" s="24" t="n">
        <v>4</v>
      </c>
      <c r="L9" s="25" t="str">
        <f aca="false">IFERROR(INDEX(CONG_VIEC!$C$6:$C$305,MATCH(K9,CONG_VIEC!$V$6:$V$305,0))&amp;"","")</f>
        <v/>
      </c>
      <c r="M9" s="20" t="str">
        <f aca="false">IFERROR(INDEX(CONG_VIEC!$F$6:$F$305,MATCH(K9,CONG_VIEC!$V$6:$V$305,0))&amp;"","")</f>
        <v/>
      </c>
      <c r="N9" s="26" t="str">
        <f aca="false">IFERROR(INDEX(CONG_VIEC!$J$6:$J$305,MATCH(K9,CONG_VIEC!$V$6:$V$305,0)),"")</f>
        <v/>
      </c>
      <c r="O9" s="2"/>
      <c r="P9" s="24" t="n">
        <v>4</v>
      </c>
      <c r="Q9" s="25" t="str">
        <f aca="false">IFERROR(INDEX(CONG_VIEC!$C$6:$C$305,MATCH(P9,CONG_VIEC!$W$6:$W$305,0))&amp;"","")</f>
        <v/>
      </c>
      <c r="R9" s="20" t="str">
        <f aca="false">IFERROR(INDEX(CONG_VIEC!$F$6:$F$305,MATCH(P9,CONG_VIEC!$W$6:$W$305,0))&amp;"","")</f>
        <v/>
      </c>
      <c r="S9" s="26" t="str">
        <f aca="false">IFERROR(INDEX(CONG_VIEC!$J$6:$J$305,MATCH(P9,CONG_VIEC!$W$6:$W$305,0)),"")</f>
        <v/>
      </c>
    </row>
    <row r="10" customFormat="false" ht="15" hidden="false" customHeight="false" outlineLevel="0" collapsed="false">
      <c r="A10" s="24" t="n">
        <v>5</v>
      </c>
      <c r="B10" s="25" t="str">
        <f aca="false">IFERROR(INDEX(CONG_VIEC!$C$6:$C$305,MATCH(A10,CONG_VIEC!$T$6:$T$305,0))&amp;"","")</f>
        <v/>
      </c>
      <c r="C10" s="20" t="str">
        <f aca="false">IFERROR(INDEX(CONG_VIEC!$F$6:$F$305,MATCH(A10,CONG_VIEC!$T$6:$T$305,0))&amp;"","")</f>
        <v/>
      </c>
      <c r="D10" s="26" t="str">
        <f aca="false">IFERROR(INDEX(CONG_VIEC!$J$6:$J$305,MATCH(A10,CONG_VIEC!$T$6:$T$305,0)),"")</f>
        <v/>
      </c>
      <c r="E10" s="2"/>
      <c r="F10" s="24" t="n">
        <v>5</v>
      </c>
      <c r="G10" s="25" t="str">
        <f aca="false">IFERROR(INDEX(CONG_VIEC!$C$6:$C$305,MATCH(F10,CONG_VIEC!$U$6:$U$305,0))&amp;"","")</f>
        <v/>
      </c>
      <c r="H10" s="20" t="str">
        <f aca="false">IFERROR(INDEX(CONG_VIEC!$F$6:$F$305,MATCH(F10,CONG_VIEC!$U$6:$U$305,0))&amp;"","")</f>
        <v/>
      </c>
      <c r="I10" s="26" t="str">
        <f aca="false">IFERROR(INDEX(CONG_VIEC!$J$6:$J$305,MATCH(F10,CONG_VIEC!$U$6:$U$305,0)),"")</f>
        <v/>
      </c>
      <c r="J10" s="2"/>
      <c r="K10" s="24" t="n">
        <v>5</v>
      </c>
      <c r="L10" s="25" t="str">
        <f aca="false">IFERROR(INDEX(CONG_VIEC!$C$6:$C$305,MATCH(K10,CONG_VIEC!$V$6:$V$305,0))&amp;"","")</f>
        <v/>
      </c>
      <c r="M10" s="20" t="str">
        <f aca="false">IFERROR(INDEX(CONG_VIEC!$F$6:$F$305,MATCH(K10,CONG_VIEC!$V$6:$V$305,0))&amp;"","")</f>
        <v/>
      </c>
      <c r="N10" s="26" t="str">
        <f aca="false">IFERROR(INDEX(CONG_VIEC!$J$6:$J$305,MATCH(K10,CONG_VIEC!$V$6:$V$305,0)),"")</f>
        <v/>
      </c>
      <c r="O10" s="2"/>
      <c r="P10" s="24" t="n">
        <v>5</v>
      </c>
      <c r="Q10" s="25" t="str">
        <f aca="false">IFERROR(INDEX(CONG_VIEC!$C$6:$C$305,MATCH(P10,CONG_VIEC!$W$6:$W$305,0))&amp;"","")</f>
        <v/>
      </c>
      <c r="R10" s="20" t="str">
        <f aca="false">IFERROR(INDEX(CONG_VIEC!$F$6:$F$305,MATCH(P10,CONG_VIEC!$W$6:$W$305,0))&amp;"","")</f>
        <v/>
      </c>
      <c r="S10" s="26" t="str">
        <f aca="false">IFERROR(INDEX(CONG_VIEC!$J$6:$J$305,MATCH(P10,CONG_VIEC!$W$6:$W$305,0)),"")</f>
        <v/>
      </c>
    </row>
    <row r="11" customFormat="false" ht="15" hidden="false" customHeight="false" outlineLevel="0" collapsed="false">
      <c r="A11" s="24" t="n">
        <v>6</v>
      </c>
      <c r="B11" s="25" t="str">
        <f aca="false">IFERROR(INDEX(CONG_VIEC!$C$6:$C$305,MATCH(A11,CONG_VIEC!$T$6:$T$305,0))&amp;"","")</f>
        <v/>
      </c>
      <c r="C11" s="20" t="str">
        <f aca="false">IFERROR(INDEX(CONG_VIEC!$F$6:$F$305,MATCH(A11,CONG_VIEC!$T$6:$T$305,0))&amp;"","")</f>
        <v/>
      </c>
      <c r="D11" s="26" t="str">
        <f aca="false">IFERROR(INDEX(CONG_VIEC!$J$6:$J$305,MATCH(A11,CONG_VIEC!$T$6:$T$305,0)),"")</f>
        <v/>
      </c>
      <c r="E11" s="2"/>
      <c r="F11" s="24" t="n">
        <v>6</v>
      </c>
      <c r="G11" s="25" t="str">
        <f aca="false">IFERROR(INDEX(CONG_VIEC!$C$6:$C$305,MATCH(F11,CONG_VIEC!$U$6:$U$305,0))&amp;"","")</f>
        <v/>
      </c>
      <c r="H11" s="20" t="str">
        <f aca="false">IFERROR(INDEX(CONG_VIEC!$F$6:$F$305,MATCH(F11,CONG_VIEC!$U$6:$U$305,0))&amp;"","")</f>
        <v/>
      </c>
      <c r="I11" s="26" t="str">
        <f aca="false">IFERROR(INDEX(CONG_VIEC!$J$6:$J$305,MATCH(F11,CONG_VIEC!$U$6:$U$305,0)),"")</f>
        <v/>
      </c>
      <c r="J11" s="2"/>
      <c r="K11" s="24" t="n">
        <v>6</v>
      </c>
      <c r="L11" s="25" t="str">
        <f aca="false">IFERROR(INDEX(CONG_VIEC!$C$6:$C$305,MATCH(K11,CONG_VIEC!$V$6:$V$305,0))&amp;"","")</f>
        <v/>
      </c>
      <c r="M11" s="20" t="str">
        <f aca="false">IFERROR(INDEX(CONG_VIEC!$F$6:$F$305,MATCH(K11,CONG_VIEC!$V$6:$V$305,0))&amp;"","")</f>
        <v/>
      </c>
      <c r="N11" s="26" t="str">
        <f aca="false">IFERROR(INDEX(CONG_VIEC!$J$6:$J$305,MATCH(K11,CONG_VIEC!$V$6:$V$305,0)),"")</f>
        <v/>
      </c>
      <c r="O11" s="2"/>
      <c r="P11" s="24" t="n">
        <v>6</v>
      </c>
      <c r="Q11" s="25" t="str">
        <f aca="false">IFERROR(INDEX(CONG_VIEC!$C$6:$C$305,MATCH(P11,CONG_VIEC!$W$6:$W$305,0))&amp;"","")</f>
        <v/>
      </c>
      <c r="R11" s="20" t="str">
        <f aca="false">IFERROR(INDEX(CONG_VIEC!$F$6:$F$305,MATCH(P11,CONG_VIEC!$W$6:$W$305,0))&amp;"","")</f>
        <v/>
      </c>
      <c r="S11" s="26" t="str">
        <f aca="false">IFERROR(INDEX(CONG_VIEC!$J$6:$J$305,MATCH(P11,CONG_VIEC!$W$6:$W$305,0)),"")</f>
        <v/>
      </c>
    </row>
    <row r="12" customFormat="false" ht="15" hidden="false" customHeight="false" outlineLevel="0" collapsed="false">
      <c r="A12" s="24" t="n">
        <v>7</v>
      </c>
      <c r="B12" s="25" t="str">
        <f aca="false">IFERROR(INDEX(CONG_VIEC!$C$6:$C$305,MATCH(A12,CONG_VIEC!$T$6:$T$305,0))&amp;"","")</f>
        <v/>
      </c>
      <c r="C12" s="20" t="str">
        <f aca="false">IFERROR(INDEX(CONG_VIEC!$F$6:$F$305,MATCH(A12,CONG_VIEC!$T$6:$T$305,0))&amp;"","")</f>
        <v/>
      </c>
      <c r="D12" s="26" t="str">
        <f aca="false">IFERROR(INDEX(CONG_VIEC!$J$6:$J$305,MATCH(A12,CONG_VIEC!$T$6:$T$305,0)),"")</f>
        <v/>
      </c>
      <c r="E12" s="2"/>
      <c r="F12" s="24" t="n">
        <v>7</v>
      </c>
      <c r="G12" s="25" t="str">
        <f aca="false">IFERROR(INDEX(CONG_VIEC!$C$6:$C$305,MATCH(F12,CONG_VIEC!$U$6:$U$305,0))&amp;"","")</f>
        <v/>
      </c>
      <c r="H12" s="20" t="str">
        <f aca="false">IFERROR(INDEX(CONG_VIEC!$F$6:$F$305,MATCH(F12,CONG_VIEC!$U$6:$U$305,0))&amp;"","")</f>
        <v/>
      </c>
      <c r="I12" s="26" t="str">
        <f aca="false">IFERROR(INDEX(CONG_VIEC!$J$6:$J$305,MATCH(F12,CONG_VIEC!$U$6:$U$305,0)),"")</f>
        <v/>
      </c>
      <c r="J12" s="2"/>
      <c r="K12" s="24" t="n">
        <v>7</v>
      </c>
      <c r="L12" s="25" t="str">
        <f aca="false">IFERROR(INDEX(CONG_VIEC!$C$6:$C$305,MATCH(K12,CONG_VIEC!$V$6:$V$305,0))&amp;"","")</f>
        <v/>
      </c>
      <c r="M12" s="20" t="str">
        <f aca="false">IFERROR(INDEX(CONG_VIEC!$F$6:$F$305,MATCH(K12,CONG_VIEC!$V$6:$V$305,0))&amp;"","")</f>
        <v/>
      </c>
      <c r="N12" s="26" t="str">
        <f aca="false">IFERROR(INDEX(CONG_VIEC!$J$6:$J$305,MATCH(K12,CONG_VIEC!$V$6:$V$305,0)),"")</f>
        <v/>
      </c>
      <c r="O12" s="2"/>
      <c r="P12" s="24" t="n">
        <v>7</v>
      </c>
      <c r="Q12" s="25" t="str">
        <f aca="false">IFERROR(INDEX(CONG_VIEC!$C$6:$C$305,MATCH(P12,CONG_VIEC!$W$6:$W$305,0))&amp;"","")</f>
        <v/>
      </c>
      <c r="R12" s="20" t="str">
        <f aca="false">IFERROR(INDEX(CONG_VIEC!$F$6:$F$305,MATCH(P12,CONG_VIEC!$W$6:$W$305,0))&amp;"","")</f>
        <v/>
      </c>
      <c r="S12" s="26" t="str">
        <f aca="false">IFERROR(INDEX(CONG_VIEC!$J$6:$J$305,MATCH(P12,CONG_VIEC!$W$6:$W$305,0)),"")</f>
        <v/>
      </c>
    </row>
    <row r="13" customFormat="false" ht="15" hidden="false" customHeight="false" outlineLevel="0" collapsed="false">
      <c r="A13" s="24" t="n">
        <v>8</v>
      </c>
      <c r="B13" s="25" t="str">
        <f aca="false">IFERROR(INDEX(CONG_VIEC!$C$6:$C$305,MATCH(A13,CONG_VIEC!$T$6:$T$305,0))&amp;"","")</f>
        <v/>
      </c>
      <c r="C13" s="20" t="str">
        <f aca="false">IFERROR(INDEX(CONG_VIEC!$F$6:$F$305,MATCH(A13,CONG_VIEC!$T$6:$T$305,0))&amp;"","")</f>
        <v/>
      </c>
      <c r="D13" s="26" t="str">
        <f aca="false">IFERROR(INDEX(CONG_VIEC!$J$6:$J$305,MATCH(A13,CONG_VIEC!$T$6:$T$305,0)),"")</f>
        <v/>
      </c>
      <c r="E13" s="2"/>
      <c r="F13" s="24" t="n">
        <v>8</v>
      </c>
      <c r="G13" s="25" t="str">
        <f aca="false">IFERROR(INDEX(CONG_VIEC!$C$6:$C$305,MATCH(F13,CONG_VIEC!$U$6:$U$305,0))&amp;"","")</f>
        <v/>
      </c>
      <c r="H13" s="20" t="str">
        <f aca="false">IFERROR(INDEX(CONG_VIEC!$F$6:$F$305,MATCH(F13,CONG_VIEC!$U$6:$U$305,0))&amp;"","")</f>
        <v/>
      </c>
      <c r="I13" s="26" t="str">
        <f aca="false">IFERROR(INDEX(CONG_VIEC!$J$6:$J$305,MATCH(F13,CONG_VIEC!$U$6:$U$305,0)),"")</f>
        <v/>
      </c>
      <c r="J13" s="2"/>
      <c r="K13" s="24" t="n">
        <v>8</v>
      </c>
      <c r="L13" s="25" t="str">
        <f aca="false">IFERROR(INDEX(CONG_VIEC!$C$6:$C$305,MATCH(K13,CONG_VIEC!$V$6:$V$305,0))&amp;"","")</f>
        <v/>
      </c>
      <c r="M13" s="20" t="str">
        <f aca="false">IFERROR(INDEX(CONG_VIEC!$F$6:$F$305,MATCH(K13,CONG_VIEC!$V$6:$V$305,0))&amp;"","")</f>
        <v/>
      </c>
      <c r="N13" s="26" t="str">
        <f aca="false">IFERROR(INDEX(CONG_VIEC!$J$6:$J$305,MATCH(K13,CONG_VIEC!$V$6:$V$305,0)),"")</f>
        <v/>
      </c>
      <c r="O13" s="2"/>
      <c r="P13" s="24" t="n">
        <v>8</v>
      </c>
      <c r="Q13" s="25" t="str">
        <f aca="false">IFERROR(INDEX(CONG_VIEC!$C$6:$C$305,MATCH(P13,CONG_VIEC!$W$6:$W$305,0))&amp;"","")</f>
        <v/>
      </c>
      <c r="R13" s="20" t="str">
        <f aca="false">IFERROR(INDEX(CONG_VIEC!$F$6:$F$305,MATCH(P13,CONG_VIEC!$W$6:$W$305,0))&amp;"","")</f>
        <v/>
      </c>
      <c r="S13" s="26" t="str">
        <f aca="false">IFERROR(INDEX(CONG_VIEC!$J$6:$J$305,MATCH(P13,CONG_VIEC!$W$6:$W$305,0)),"")</f>
        <v/>
      </c>
    </row>
    <row r="14" customFormat="false" ht="15" hidden="false" customHeight="false" outlineLevel="0" collapsed="false">
      <c r="A14" s="24" t="n">
        <v>9</v>
      </c>
      <c r="B14" s="25" t="str">
        <f aca="false">IFERROR(INDEX(CONG_VIEC!$C$6:$C$305,MATCH(A14,CONG_VIEC!$T$6:$T$305,0))&amp;"","")</f>
        <v/>
      </c>
      <c r="C14" s="20" t="str">
        <f aca="false">IFERROR(INDEX(CONG_VIEC!$F$6:$F$305,MATCH(A14,CONG_VIEC!$T$6:$T$305,0))&amp;"","")</f>
        <v/>
      </c>
      <c r="D14" s="26" t="str">
        <f aca="false">IFERROR(INDEX(CONG_VIEC!$J$6:$J$305,MATCH(A14,CONG_VIEC!$T$6:$T$305,0)),"")</f>
        <v/>
      </c>
      <c r="E14" s="2"/>
      <c r="F14" s="24" t="n">
        <v>9</v>
      </c>
      <c r="G14" s="25" t="str">
        <f aca="false">IFERROR(INDEX(CONG_VIEC!$C$6:$C$305,MATCH(F14,CONG_VIEC!$U$6:$U$305,0))&amp;"","")</f>
        <v/>
      </c>
      <c r="H14" s="20" t="str">
        <f aca="false">IFERROR(INDEX(CONG_VIEC!$F$6:$F$305,MATCH(F14,CONG_VIEC!$U$6:$U$305,0))&amp;"","")</f>
        <v/>
      </c>
      <c r="I14" s="26" t="str">
        <f aca="false">IFERROR(INDEX(CONG_VIEC!$J$6:$J$305,MATCH(F14,CONG_VIEC!$U$6:$U$305,0)),"")</f>
        <v/>
      </c>
      <c r="J14" s="2"/>
      <c r="K14" s="24" t="n">
        <v>9</v>
      </c>
      <c r="L14" s="25" t="str">
        <f aca="false">IFERROR(INDEX(CONG_VIEC!$C$6:$C$305,MATCH(K14,CONG_VIEC!$V$6:$V$305,0))&amp;"","")</f>
        <v/>
      </c>
      <c r="M14" s="20" t="str">
        <f aca="false">IFERROR(INDEX(CONG_VIEC!$F$6:$F$305,MATCH(K14,CONG_VIEC!$V$6:$V$305,0))&amp;"","")</f>
        <v/>
      </c>
      <c r="N14" s="26" t="str">
        <f aca="false">IFERROR(INDEX(CONG_VIEC!$J$6:$J$305,MATCH(K14,CONG_VIEC!$V$6:$V$305,0)),"")</f>
        <v/>
      </c>
      <c r="O14" s="2"/>
      <c r="P14" s="24" t="n">
        <v>9</v>
      </c>
      <c r="Q14" s="25" t="str">
        <f aca="false">IFERROR(INDEX(CONG_VIEC!$C$6:$C$305,MATCH(P14,CONG_VIEC!$W$6:$W$305,0))&amp;"","")</f>
        <v/>
      </c>
      <c r="R14" s="20" t="str">
        <f aca="false">IFERROR(INDEX(CONG_VIEC!$F$6:$F$305,MATCH(P14,CONG_VIEC!$W$6:$W$305,0))&amp;"","")</f>
        <v/>
      </c>
      <c r="S14" s="26" t="str">
        <f aca="false">IFERROR(INDEX(CONG_VIEC!$J$6:$J$305,MATCH(P14,CONG_VIEC!$W$6:$W$305,0)),"")</f>
        <v/>
      </c>
    </row>
    <row r="15" customFormat="false" ht="15" hidden="false" customHeight="false" outlineLevel="0" collapsed="false">
      <c r="A15" s="24" t="n">
        <v>10</v>
      </c>
      <c r="B15" s="25" t="str">
        <f aca="false">IFERROR(INDEX(CONG_VIEC!$C$6:$C$305,MATCH(A15,CONG_VIEC!$T$6:$T$305,0))&amp;"","")</f>
        <v/>
      </c>
      <c r="C15" s="20" t="str">
        <f aca="false">IFERROR(INDEX(CONG_VIEC!$F$6:$F$305,MATCH(A15,CONG_VIEC!$T$6:$T$305,0))&amp;"","")</f>
        <v/>
      </c>
      <c r="D15" s="26" t="str">
        <f aca="false">IFERROR(INDEX(CONG_VIEC!$J$6:$J$305,MATCH(A15,CONG_VIEC!$T$6:$T$305,0)),"")</f>
        <v/>
      </c>
      <c r="E15" s="2"/>
      <c r="F15" s="24" t="n">
        <v>10</v>
      </c>
      <c r="G15" s="25" t="str">
        <f aca="false">IFERROR(INDEX(CONG_VIEC!$C$6:$C$305,MATCH(F15,CONG_VIEC!$U$6:$U$305,0))&amp;"","")</f>
        <v/>
      </c>
      <c r="H15" s="20" t="str">
        <f aca="false">IFERROR(INDEX(CONG_VIEC!$F$6:$F$305,MATCH(F15,CONG_VIEC!$U$6:$U$305,0))&amp;"","")</f>
        <v/>
      </c>
      <c r="I15" s="26" t="str">
        <f aca="false">IFERROR(INDEX(CONG_VIEC!$J$6:$J$305,MATCH(F15,CONG_VIEC!$U$6:$U$305,0)),"")</f>
        <v/>
      </c>
      <c r="J15" s="2"/>
      <c r="K15" s="24" t="n">
        <v>10</v>
      </c>
      <c r="L15" s="25" t="str">
        <f aca="false">IFERROR(INDEX(CONG_VIEC!$C$6:$C$305,MATCH(K15,CONG_VIEC!$V$6:$V$305,0))&amp;"","")</f>
        <v/>
      </c>
      <c r="M15" s="20" t="str">
        <f aca="false">IFERROR(INDEX(CONG_VIEC!$F$6:$F$305,MATCH(K15,CONG_VIEC!$V$6:$V$305,0))&amp;"","")</f>
        <v/>
      </c>
      <c r="N15" s="26" t="str">
        <f aca="false">IFERROR(INDEX(CONG_VIEC!$J$6:$J$305,MATCH(K15,CONG_VIEC!$V$6:$V$305,0)),"")</f>
        <v/>
      </c>
      <c r="O15" s="2"/>
      <c r="P15" s="24" t="n">
        <v>10</v>
      </c>
      <c r="Q15" s="25" t="str">
        <f aca="false">IFERROR(INDEX(CONG_VIEC!$C$6:$C$305,MATCH(P15,CONG_VIEC!$W$6:$W$305,0))&amp;"","")</f>
        <v/>
      </c>
      <c r="R15" s="20" t="str">
        <f aca="false">IFERROR(INDEX(CONG_VIEC!$F$6:$F$305,MATCH(P15,CONG_VIEC!$W$6:$W$305,0))&amp;"","")</f>
        <v/>
      </c>
      <c r="S15" s="26" t="str">
        <f aca="false">IFERROR(INDEX(CONG_VIEC!$J$6:$J$305,MATCH(P15,CONG_VIEC!$W$6:$W$305,0)),"")</f>
        <v/>
      </c>
    </row>
    <row r="16" customFormat="false" ht="15" hidden="false" customHeight="false" outlineLevel="0" collapsed="false">
      <c r="A16" s="24" t="n">
        <v>11</v>
      </c>
      <c r="B16" s="25" t="str">
        <f aca="false">IFERROR(INDEX(CONG_VIEC!$C$6:$C$305,MATCH(A16,CONG_VIEC!$T$6:$T$305,0))&amp;"","")</f>
        <v/>
      </c>
      <c r="C16" s="20" t="str">
        <f aca="false">IFERROR(INDEX(CONG_VIEC!$F$6:$F$305,MATCH(A16,CONG_VIEC!$T$6:$T$305,0))&amp;"","")</f>
        <v/>
      </c>
      <c r="D16" s="26" t="str">
        <f aca="false">IFERROR(INDEX(CONG_VIEC!$J$6:$J$305,MATCH(A16,CONG_VIEC!$T$6:$T$305,0)),"")</f>
        <v/>
      </c>
      <c r="E16" s="2"/>
      <c r="F16" s="24" t="n">
        <v>11</v>
      </c>
      <c r="G16" s="25" t="str">
        <f aca="false">IFERROR(INDEX(CONG_VIEC!$C$6:$C$305,MATCH(F16,CONG_VIEC!$U$6:$U$305,0))&amp;"","")</f>
        <v/>
      </c>
      <c r="H16" s="20" t="str">
        <f aca="false">IFERROR(INDEX(CONG_VIEC!$F$6:$F$305,MATCH(F16,CONG_VIEC!$U$6:$U$305,0))&amp;"","")</f>
        <v/>
      </c>
      <c r="I16" s="26" t="str">
        <f aca="false">IFERROR(INDEX(CONG_VIEC!$J$6:$J$305,MATCH(F16,CONG_VIEC!$U$6:$U$305,0)),"")</f>
        <v/>
      </c>
      <c r="J16" s="2"/>
      <c r="K16" s="24" t="n">
        <v>11</v>
      </c>
      <c r="L16" s="25" t="str">
        <f aca="false">IFERROR(INDEX(CONG_VIEC!$C$6:$C$305,MATCH(K16,CONG_VIEC!$V$6:$V$305,0))&amp;"","")</f>
        <v/>
      </c>
      <c r="M16" s="20" t="str">
        <f aca="false">IFERROR(INDEX(CONG_VIEC!$F$6:$F$305,MATCH(K16,CONG_VIEC!$V$6:$V$305,0))&amp;"","")</f>
        <v/>
      </c>
      <c r="N16" s="26" t="str">
        <f aca="false">IFERROR(INDEX(CONG_VIEC!$J$6:$J$305,MATCH(K16,CONG_VIEC!$V$6:$V$305,0)),"")</f>
        <v/>
      </c>
      <c r="O16" s="2"/>
      <c r="P16" s="24" t="n">
        <v>11</v>
      </c>
      <c r="Q16" s="25" t="str">
        <f aca="false">IFERROR(INDEX(CONG_VIEC!$C$6:$C$305,MATCH(P16,CONG_VIEC!$W$6:$W$305,0))&amp;"","")</f>
        <v/>
      </c>
      <c r="R16" s="20" t="str">
        <f aca="false">IFERROR(INDEX(CONG_VIEC!$F$6:$F$305,MATCH(P16,CONG_VIEC!$W$6:$W$305,0))&amp;"","")</f>
        <v/>
      </c>
      <c r="S16" s="26" t="str">
        <f aca="false">IFERROR(INDEX(CONG_VIEC!$J$6:$J$305,MATCH(P16,CONG_VIEC!$W$6:$W$305,0)),"")</f>
        <v/>
      </c>
    </row>
    <row r="17" customFormat="false" ht="15" hidden="false" customHeight="false" outlineLevel="0" collapsed="false">
      <c r="A17" s="24" t="n">
        <v>12</v>
      </c>
      <c r="B17" s="25" t="str">
        <f aca="false">IFERROR(INDEX(CONG_VIEC!$C$6:$C$305,MATCH(A17,CONG_VIEC!$T$6:$T$305,0))&amp;"","")</f>
        <v/>
      </c>
      <c r="C17" s="20" t="str">
        <f aca="false">IFERROR(INDEX(CONG_VIEC!$F$6:$F$305,MATCH(A17,CONG_VIEC!$T$6:$T$305,0))&amp;"","")</f>
        <v/>
      </c>
      <c r="D17" s="26" t="str">
        <f aca="false">IFERROR(INDEX(CONG_VIEC!$J$6:$J$305,MATCH(A17,CONG_VIEC!$T$6:$T$305,0)),"")</f>
        <v/>
      </c>
      <c r="E17" s="2"/>
      <c r="F17" s="24" t="n">
        <v>12</v>
      </c>
      <c r="G17" s="25" t="str">
        <f aca="false">IFERROR(INDEX(CONG_VIEC!$C$6:$C$305,MATCH(F17,CONG_VIEC!$U$6:$U$305,0))&amp;"","")</f>
        <v/>
      </c>
      <c r="H17" s="20" t="str">
        <f aca="false">IFERROR(INDEX(CONG_VIEC!$F$6:$F$305,MATCH(F17,CONG_VIEC!$U$6:$U$305,0))&amp;"","")</f>
        <v/>
      </c>
      <c r="I17" s="26" t="str">
        <f aca="false">IFERROR(INDEX(CONG_VIEC!$J$6:$J$305,MATCH(F17,CONG_VIEC!$U$6:$U$305,0)),"")</f>
        <v/>
      </c>
      <c r="J17" s="2"/>
      <c r="K17" s="24" t="n">
        <v>12</v>
      </c>
      <c r="L17" s="25" t="str">
        <f aca="false">IFERROR(INDEX(CONG_VIEC!$C$6:$C$305,MATCH(K17,CONG_VIEC!$V$6:$V$305,0))&amp;"","")</f>
        <v/>
      </c>
      <c r="M17" s="20" t="str">
        <f aca="false">IFERROR(INDEX(CONG_VIEC!$F$6:$F$305,MATCH(K17,CONG_VIEC!$V$6:$V$305,0))&amp;"","")</f>
        <v/>
      </c>
      <c r="N17" s="26" t="str">
        <f aca="false">IFERROR(INDEX(CONG_VIEC!$J$6:$J$305,MATCH(K17,CONG_VIEC!$V$6:$V$305,0)),"")</f>
        <v/>
      </c>
      <c r="O17" s="2"/>
      <c r="P17" s="24" t="n">
        <v>12</v>
      </c>
      <c r="Q17" s="25" t="str">
        <f aca="false">IFERROR(INDEX(CONG_VIEC!$C$6:$C$305,MATCH(P17,CONG_VIEC!$W$6:$W$305,0))&amp;"","")</f>
        <v/>
      </c>
      <c r="R17" s="20" t="str">
        <f aca="false">IFERROR(INDEX(CONG_VIEC!$F$6:$F$305,MATCH(P17,CONG_VIEC!$W$6:$W$305,0))&amp;"","")</f>
        <v/>
      </c>
      <c r="S17" s="26" t="str">
        <f aca="false">IFERROR(INDEX(CONG_VIEC!$J$6:$J$305,MATCH(P17,CONG_VIEC!$W$6:$W$305,0)),"")</f>
        <v/>
      </c>
    </row>
    <row r="18" customFormat="false" ht="15" hidden="false" customHeight="false" outlineLevel="0" collapsed="false">
      <c r="A18" s="24" t="n">
        <v>13</v>
      </c>
      <c r="B18" s="25" t="str">
        <f aca="false">IFERROR(INDEX(CONG_VIEC!$C$6:$C$305,MATCH(A18,CONG_VIEC!$T$6:$T$305,0))&amp;"","")</f>
        <v/>
      </c>
      <c r="C18" s="20" t="str">
        <f aca="false">IFERROR(INDEX(CONG_VIEC!$F$6:$F$305,MATCH(A18,CONG_VIEC!$T$6:$T$305,0))&amp;"","")</f>
        <v/>
      </c>
      <c r="D18" s="26" t="str">
        <f aca="false">IFERROR(INDEX(CONG_VIEC!$J$6:$J$305,MATCH(A18,CONG_VIEC!$T$6:$T$305,0)),"")</f>
        <v/>
      </c>
      <c r="E18" s="2"/>
      <c r="F18" s="24" t="n">
        <v>13</v>
      </c>
      <c r="G18" s="25" t="str">
        <f aca="false">IFERROR(INDEX(CONG_VIEC!$C$6:$C$305,MATCH(F18,CONG_VIEC!$U$6:$U$305,0))&amp;"","")</f>
        <v/>
      </c>
      <c r="H18" s="20" t="str">
        <f aca="false">IFERROR(INDEX(CONG_VIEC!$F$6:$F$305,MATCH(F18,CONG_VIEC!$U$6:$U$305,0))&amp;"","")</f>
        <v/>
      </c>
      <c r="I18" s="26" t="str">
        <f aca="false">IFERROR(INDEX(CONG_VIEC!$J$6:$J$305,MATCH(F18,CONG_VIEC!$U$6:$U$305,0)),"")</f>
        <v/>
      </c>
      <c r="J18" s="2"/>
      <c r="K18" s="24" t="n">
        <v>13</v>
      </c>
      <c r="L18" s="25" t="str">
        <f aca="false">IFERROR(INDEX(CONG_VIEC!$C$6:$C$305,MATCH(K18,CONG_VIEC!$V$6:$V$305,0))&amp;"","")</f>
        <v/>
      </c>
      <c r="M18" s="20" t="str">
        <f aca="false">IFERROR(INDEX(CONG_VIEC!$F$6:$F$305,MATCH(K18,CONG_VIEC!$V$6:$V$305,0))&amp;"","")</f>
        <v/>
      </c>
      <c r="N18" s="26" t="str">
        <f aca="false">IFERROR(INDEX(CONG_VIEC!$J$6:$J$305,MATCH(K18,CONG_VIEC!$V$6:$V$305,0)),"")</f>
        <v/>
      </c>
      <c r="O18" s="2"/>
      <c r="P18" s="24" t="n">
        <v>13</v>
      </c>
      <c r="Q18" s="25" t="str">
        <f aca="false">IFERROR(INDEX(CONG_VIEC!$C$6:$C$305,MATCH(P18,CONG_VIEC!$W$6:$W$305,0))&amp;"","")</f>
        <v/>
      </c>
      <c r="R18" s="20" t="str">
        <f aca="false">IFERROR(INDEX(CONG_VIEC!$F$6:$F$305,MATCH(P18,CONG_VIEC!$W$6:$W$305,0))&amp;"","")</f>
        <v/>
      </c>
      <c r="S18" s="26" t="str">
        <f aca="false">IFERROR(INDEX(CONG_VIEC!$J$6:$J$305,MATCH(P18,CONG_VIEC!$W$6:$W$305,0)),"")</f>
        <v/>
      </c>
    </row>
    <row r="19" customFormat="false" ht="15" hidden="false" customHeight="false" outlineLevel="0" collapsed="false">
      <c r="A19" s="24" t="n">
        <v>14</v>
      </c>
      <c r="B19" s="25" t="str">
        <f aca="false">IFERROR(INDEX(CONG_VIEC!$C$6:$C$305,MATCH(A19,CONG_VIEC!$T$6:$T$305,0))&amp;"","")</f>
        <v/>
      </c>
      <c r="C19" s="20" t="str">
        <f aca="false">IFERROR(INDEX(CONG_VIEC!$F$6:$F$305,MATCH(A19,CONG_VIEC!$T$6:$T$305,0))&amp;"","")</f>
        <v/>
      </c>
      <c r="D19" s="26" t="str">
        <f aca="false">IFERROR(INDEX(CONG_VIEC!$J$6:$J$305,MATCH(A19,CONG_VIEC!$T$6:$T$305,0)),"")</f>
        <v/>
      </c>
      <c r="E19" s="2"/>
      <c r="F19" s="24" t="n">
        <v>14</v>
      </c>
      <c r="G19" s="25" t="str">
        <f aca="false">IFERROR(INDEX(CONG_VIEC!$C$6:$C$305,MATCH(F19,CONG_VIEC!$U$6:$U$305,0))&amp;"","")</f>
        <v/>
      </c>
      <c r="H19" s="20" t="str">
        <f aca="false">IFERROR(INDEX(CONG_VIEC!$F$6:$F$305,MATCH(F19,CONG_VIEC!$U$6:$U$305,0))&amp;"","")</f>
        <v/>
      </c>
      <c r="I19" s="26" t="str">
        <f aca="false">IFERROR(INDEX(CONG_VIEC!$J$6:$J$305,MATCH(F19,CONG_VIEC!$U$6:$U$305,0)),"")</f>
        <v/>
      </c>
      <c r="J19" s="2"/>
      <c r="K19" s="24" t="n">
        <v>14</v>
      </c>
      <c r="L19" s="25" t="str">
        <f aca="false">IFERROR(INDEX(CONG_VIEC!$C$6:$C$305,MATCH(K19,CONG_VIEC!$V$6:$V$305,0))&amp;"","")</f>
        <v/>
      </c>
      <c r="M19" s="20" t="str">
        <f aca="false">IFERROR(INDEX(CONG_VIEC!$F$6:$F$305,MATCH(K19,CONG_VIEC!$V$6:$V$305,0))&amp;"","")</f>
        <v/>
      </c>
      <c r="N19" s="26" t="str">
        <f aca="false">IFERROR(INDEX(CONG_VIEC!$J$6:$J$305,MATCH(K19,CONG_VIEC!$V$6:$V$305,0)),"")</f>
        <v/>
      </c>
      <c r="O19" s="2"/>
      <c r="P19" s="24" t="n">
        <v>14</v>
      </c>
      <c r="Q19" s="25" t="str">
        <f aca="false">IFERROR(INDEX(CONG_VIEC!$C$6:$C$305,MATCH(P19,CONG_VIEC!$W$6:$W$305,0))&amp;"","")</f>
        <v/>
      </c>
      <c r="R19" s="20" t="str">
        <f aca="false">IFERROR(INDEX(CONG_VIEC!$F$6:$F$305,MATCH(P19,CONG_VIEC!$W$6:$W$305,0))&amp;"","")</f>
        <v/>
      </c>
      <c r="S19" s="26" t="str">
        <f aca="false">IFERROR(INDEX(CONG_VIEC!$J$6:$J$305,MATCH(P19,CONG_VIEC!$W$6:$W$305,0)),"")</f>
        <v/>
      </c>
    </row>
    <row r="20" customFormat="false" ht="15" hidden="false" customHeight="false" outlineLevel="0" collapsed="false">
      <c r="A20" s="24" t="n">
        <v>15</v>
      </c>
      <c r="B20" s="25" t="str">
        <f aca="false">IFERROR(INDEX(CONG_VIEC!$C$6:$C$305,MATCH(A20,CONG_VIEC!$T$6:$T$305,0))&amp;"","")</f>
        <v/>
      </c>
      <c r="C20" s="20" t="str">
        <f aca="false">IFERROR(INDEX(CONG_VIEC!$F$6:$F$305,MATCH(A20,CONG_VIEC!$T$6:$T$305,0))&amp;"","")</f>
        <v/>
      </c>
      <c r="D20" s="26" t="str">
        <f aca="false">IFERROR(INDEX(CONG_VIEC!$J$6:$J$305,MATCH(A20,CONG_VIEC!$T$6:$T$305,0)),"")</f>
        <v/>
      </c>
      <c r="E20" s="2"/>
      <c r="F20" s="24" t="n">
        <v>15</v>
      </c>
      <c r="G20" s="25" t="str">
        <f aca="false">IFERROR(INDEX(CONG_VIEC!$C$6:$C$305,MATCH(F20,CONG_VIEC!$U$6:$U$305,0))&amp;"","")</f>
        <v/>
      </c>
      <c r="H20" s="20" t="str">
        <f aca="false">IFERROR(INDEX(CONG_VIEC!$F$6:$F$305,MATCH(F20,CONG_VIEC!$U$6:$U$305,0))&amp;"","")</f>
        <v/>
      </c>
      <c r="I20" s="26" t="str">
        <f aca="false">IFERROR(INDEX(CONG_VIEC!$J$6:$J$305,MATCH(F20,CONG_VIEC!$U$6:$U$305,0)),"")</f>
        <v/>
      </c>
      <c r="J20" s="2"/>
      <c r="K20" s="24" t="n">
        <v>15</v>
      </c>
      <c r="L20" s="25" t="str">
        <f aca="false">IFERROR(INDEX(CONG_VIEC!$C$6:$C$305,MATCH(K20,CONG_VIEC!$V$6:$V$305,0))&amp;"","")</f>
        <v/>
      </c>
      <c r="M20" s="20" t="str">
        <f aca="false">IFERROR(INDEX(CONG_VIEC!$F$6:$F$305,MATCH(K20,CONG_VIEC!$V$6:$V$305,0))&amp;"","")</f>
        <v/>
      </c>
      <c r="N20" s="26" t="str">
        <f aca="false">IFERROR(INDEX(CONG_VIEC!$J$6:$J$305,MATCH(K20,CONG_VIEC!$V$6:$V$305,0)),"")</f>
        <v/>
      </c>
      <c r="O20" s="2"/>
      <c r="P20" s="24" t="n">
        <v>15</v>
      </c>
      <c r="Q20" s="25" t="str">
        <f aca="false">IFERROR(INDEX(CONG_VIEC!$C$6:$C$305,MATCH(P20,CONG_VIEC!$W$6:$W$305,0))&amp;"","")</f>
        <v/>
      </c>
      <c r="R20" s="20" t="str">
        <f aca="false">IFERROR(INDEX(CONG_VIEC!$F$6:$F$305,MATCH(P20,CONG_VIEC!$W$6:$W$305,0))&amp;"","")</f>
        <v/>
      </c>
      <c r="S20" s="26" t="str">
        <f aca="false">IFERROR(INDEX(CONG_VIEC!$J$6:$J$305,MATCH(P20,CONG_VIEC!$W$6:$W$305,0)),"")</f>
        <v/>
      </c>
    </row>
    <row r="21" customFormat="false" ht="15" hidden="false" customHeight="false" outlineLevel="0" collapsed="false">
      <c r="A21" s="24" t="n">
        <v>16</v>
      </c>
      <c r="B21" s="25" t="str">
        <f aca="false">IFERROR(INDEX(CONG_VIEC!$C$6:$C$305,MATCH(A21,CONG_VIEC!$T$6:$T$305,0))&amp;"","")</f>
        <v/>
      </c>
      <c r="C21" s="20" t="str">
        <f aca="false">IFERROR(INDEX(CONG_VIEC!$F$6:$F$305,MATCH(A21,CONG_VIEC!$T$6:$T$305,0))&amp;"","")</f>
        <v/>
      </c>
      <c r="D21" s="26" t="str">
        <f aca="false">IFERROR(INDEX(CONG_VIEC!$J$6:$J$305,MATCH(A21,CONG_VIEC!$T$6:$T$305,0)),"")</f>
        <v/>
      </c>
      <c r="E21" s="2"/>
      <c r="F21" s="24" t="n">
        <v>16</v>
      </c>
      <c r="G21" s="25" t="str">
        <f aca="false">IFERROR(INDEX(CONG_VIEC!$C$6:$C$305,MATCH(F21,CONG_VIEC!$U$6:$U$305,0))&amp;"","")</f>
        <v/>
      </c>
      <c r="H21" s="20" t="str">
        <f aca="false">IFERROR(INDEX(CONG_VIEC!$F$6:$F$305,MATCH(F21,CONG_VIEC!$U$6:$U$305,0))&amp;"","")</f>
        <v/>
      </c>
      <c r="I21" s="26" t="str">
        <f aca="false">IFERROR(INDEX(CONG_VIEC!$J$6:$J$305,MATCH(F21,CONG_VIEC!$U$6:$U$305,0)),"")</f>
        <v/>
      </c>
      <c r="J21" s="2"/>
      <c r="K21" s="24" t="n">
        <v>16</v>
      </c>
      <c r="L21" s="25" t="str">
        <f aca="false">IFERROR(INDEX(CONG_VIEC!$C$6:$C$305,MATCH(K21,CONG_VIEC!$V$6:$V$305,0))&amp;"","")</f>
        <v/>
      </c>
      <c r="M21" s="20" t="str">
        <f aca="false">IFERROR(INDEX(CONG_VIEC!$F$6:$F$305,MATCH(K21,CONG_VIEC!$V$6:$V$305,0))&amp;"","")</f>
        <v/>
      </c>
      <c r="N21" s="26" t="str">
        <f aca="false">IFERROR(INDEX(CONG_VIEC!$J$6:$J$305,MATCH(K21,CONG_VIEC!$V$6:$V$305,0)),"")</f>
        <v/>
      </c>
      <c r="O21" s="2"/>
      <c r="P21" s="24" t="n">
        <v>16</v>
      </c>
      <c r="Q21" s="25" t="str">
        <f aca="false">IFERROR(INDEX(CONG_VIEC!$C$6:$C$305,MATCH(P21,CONG_VIEC!$W$6:$W$305,0))&amp;"","")</f>
        <v/>
      </c>
      <c r="R21" s="20" t="str">
        <f aca="false">IFERROR(INDEX(CONG_VIEC!$F$6:$F$305,MATCH(P21,CONG_VIEC!$W$6:$W$305,0))&amp;"","")</f>
        <v/>
      </c>
      <c r="S21" s="26" t="str">
        <f aca="false">IFERROR(INDEX(CONG_VIEC!$J$6:$J$305,MATCH(P21,CONG_VIEC!$W$6:$W$305,0)),"")</f>
        <v/>
      </c>
    </row>
    <row r="22" customFormat="false" ht="15" hidden="false" customHeight="false" outlineLevel="0" collapsed="false">
      <c r="A22" s="24" t="n">
        <v>17</v>
      </c>
      <c r="B22" s="25" t="str">
        <f aca="false">IFERROR(INDEX(CONG_VIEC!$C$6:$C$305,MATCH(A22,CONG_VIEC!$T$6:$T$305,0))&amp;"","")</f>
        <v/>
      </c>
      <c r="C22" s="20" t="str">
        <f aca="false">IFERROR(INDEX(CONG_VIEC!$F$6:$F$305,MATCH(A22,CONG_VIEC!$T$6:$T$305,0))&amp;"","")</f>
        <v/>
      </c>
      <c r="D22" s="26" t="str">
        <f aca="false">IFERROR(INDEX(CONG_VIEC!$J$6:$J$305,MATCH(A22,CONG_VIEC!$T$6:$T$305,0)),"")</f>
        <v/>
      </c>
      <c r="E22" s="2"/>
      <c r="F22" s="24" t="n">
        <v>17</v>
      </c>
      <c r="G22" s="25" t="str">
        <f aca="false">IFERROR(INDEX(CONG_VIEC!$C$6:$C$305,MATCH(F22,CONG_VIEC!$U$6:$U$305,0))&amp;"","")</f>
        <v/>
      </c>
      <c r="H22" s="20" t="str">
        <f aca="false">IFERROR(INDEX(CONG_VIEC!$F$6:$F$305,MATCH(F22,CONG_VIEC!$U$6:$U$305,0))&amp;"","")</f>
        <v/>
      </c>
      <c r="I22" s="26" t="str">
        <f aca="false">IFERROR(INDEX(CONG_VIEC!$J$6:$J$305,MATCH(F22,CONG_VIEC!$U$6:$U$305,0)),"")</f>
        <v/>
      </c>
      <c r="J22" s="2"/>
      <c r="K22" s="24" t="n">
        <v>17</v>
      </c>
      <c r="L22" s="25" t="str">
        <f aca="false">IFERROR(INDEX(CONG_VIEC!$C$6:$C$305,MATCH(K22,CONG_VIEC!$V$6:$V$305,0))&amp;"","")</f>
        <v/>
      </c>
      <c r="M22" s="20" t="str">
        <f aca="false">IFERROR(INDEX(CONG_VIEC!$F$6:$F$305,MATCH(K22,CONG_VIEC!$V$6:$V$305,0))&amp;"","")</f>
        <v/>
      </c>
      <c r="N22" s="26" t="str">
        <f aca="false">IFERROR(INDEX(CONG_VIEC!$J$6:$J$305,MATCH(K22,CONG_VIEC!$V$6:$V$305,0)),"")</f>
        <v/>
      </c>
      <c r="O22" s="2"/>
      <c r="P22" s="24" t="n">
        <v>17</v>
      </c>
      <c r="Q22" s="25" t="str">
        <f aca="false">IFERROR(INDEX(CONG_VIEC!$C$6:$C$305,MATCH(P22,CONG_VIEC!$W$6:$W$305,0))&amp;"","")</f>
        <v/>
      </c>
      <c r="R22" s="20" t="str">
        <f aca="false">IFERROR(INDEX(CONG_VIEC!$F$6:$F$305,MATCH(P22,CONG_VIEC!$W$6:$W$305,0))&amp;"","")</f>
        <v/>
      </c>
      <c r="S22" s="26" t="str">
        <f aca="false">IFERROR(INDEX(CONG_VIEC!$J$6:$J$305,MATCH(P22,CONG_VIEC!$W$6:$W$305,0)),"")</f>
        <v/>
      </c>
    </row>
    <row r="23" customFormat="false" ht="15" hidden="false" customHeight="false" outlineLevel="0" collapsed="false">
      <c r="A23" s="24" t="n">
        <v>18</v>
      </c>
      <c r="B23" s="25" t="str">
        <f aca="false">IFERROR(INDEX(CONG_VIEC!$C$6:$C$305,MATCH(A23,CONG_VIEC!$T$6:$T$305,0))&amp;"","")</f>
        <v/>
      </c>
      <c r="C23" s="20" t="str">
        <f aca="false">IFERROR(INDEX(CONG_VIEC!$F$6:$F$305,MATCH(A23,CONG_VIEC!$T$6:$T$305,0))&amp;"","")</f>
        <v/>
      </c>
      <c r="D23" s="26" t="str">
        <f aca="false">IFERROR(INDEX(CONG_VIEC!$J$6:$J$305,MATCH(A23,CONG_VIEC!$T$6:$T$305,0)),"")</f>
        <v/>
      </c>
      <c r="E23" s="2"/>
      <c r="F23" s="24" t="n">
        <v>18</v>
      </c>
      <c r="G23" s="25" t="str">
        <f aca="false">IFERROR(INDEX(CONG_VIEC!$C$6:$C$305,MATCH(F23,CONG_VIEC!$U$6:$U$305,0))&amp;"","")</f>
        <v/>
      </c>
      <c r="H23" s="20" t="str">
        <f aca="false">IFERROR(INDEX(CONG_VIEC!$F$6:$F$305,MATCH(F23,CONG_VIEC!$U$6:$U$305,0))&amp;"","")</f>
        <v/>
      </c>
      <c r="I23" s="26" t="str">
        <f aca="false">IFERROR(INDEX(CONG_VIEC!$J$6:$J$305,MATCH(F23,CONG_VIEC!$U$6:$U$305,0)),"")</f>
        <v/>
      </c>
      <c r="J23" s="2"/>
      <c r="K23" s="24" t="n">
        <v>18</v>
      </c>
      <c r="L23" s="25" t="str">
        <f aca="false">IFERROR(INDEX(CONG_VIEC!$C$6:$C$305,MATCH(K23,CONG_VIEC!$V$6:$V$305,0))&amp;"","")</f>
        <v/>
      </c>
      <c r="M23" s="20" t="str">
        <f aca="false">IFERROR(INDEX(CONG_VIEC!$F$6:$F$305,MATCH(K23,CONG_VIEC!$V$6:$V$305,0))&amp;"","")</f>
        <v/>
      </c>
      <c r="N23" s="26" t="str">
        <f aca="false">IFERROR(INDEX(CONG_VIEC!$J$6:$J$305,MATCH(K23,CONG_VIEC!$V$6:$V$305,0)),"")</f>
        <v/>
      </c>
      <c r="O23" s="2"/>
      <c r="P23" s="24" t="n">
        <v>18</v>
      </c>
      <c r="Q23" s="25" t="str">
        <f aca="false">IFERROR(INDEX(CONG_VIEC!$C$6:$C$305,MATCH(P23,CONG_VIEC!$W$6:$W$305,0))&amp;"","")</f>
        <v/>
      </c>
      <c r="R23" s="20" t="str">
        <f aca="false">IFERROR(INDEX(CONG_VIEC!$F$6:$F$305,MATCH(P23,CONG_VIEC!$W$6:$W$305,0))&amp;"","")</f>
        <v/>
      </c>
      <c r="S23" s="26" t="str">
        <f aca="false">IFERROR(INDEX(CONG_VIEC!$J$6:$J$305,MATCH(P23,CONG_VIEC!$W$6:$W$305,0)),"")</f>
        <v/>
      </c>
    </row>
    <row r="24" customFormat="false" ht="15" hidden="false" customHeight="false" outlineLevel="0" collapsed="false">
      <c r="A24" s="24" t="n">
        <v>19</v>
      </c>
      <c r="B24" s="25" t="str">
        <f aca="false">IFERROR(INDEX(CONG_VIEC!$C$6:$C$305,MATCH(A24,CONG_VIEC!$T$6:$T$305,0))&amp;"","")</f>
        <v/>
      </c>
      <c r="C24" s="20" t="str">
        <f aca="false">IFERROR(INDEX(CONG_VIEC!$F$6:$F$305,MATCH(A24,CONG_VIEC!$T$6:$T$305,0))&amp;"","")</f>
        <v/>
      </c>
      <c r="D24" s="26" t="str">
        <f aca="false">IFERROR(INDEX(CONG_VIEC!$J$6:$J$305,MATCH(A24,CONG_VIEC!$T$6:$T$305,0)),"")</f>
        <v/>
      </c>
      <c r="E24" s="2"/>
      <c r="F24" s="24" t="n">
        <v>19</v>
      </c>
      <c r="G24" s="25" t="str">
        <f aca="false">IFERROR(INDEX(CONG_VIEC!$C$6:$C$305,MATCH(F24,CONG_VIEC!$U$6:$U$305,0))&amp;"","")</f>
        <v/>
      </c>
      <c r="H24" s="20" t="str">
        <f aca="false">IFERROR(INDEX(CONG_VIEC!$F$6:$F$305,MATCH(F24,CONG_VIEC!$U$6:$U$305,0))&amp;"","")</f>
        <v/>
      </c>
      <c r="I24" s="26" t="str">
        <f aca="false">IFERROR(INDEX(CONG_VIEC!$J$6:$J$305,MATCH(F24,CONG_VIEC!$U$6:$U$305,0)),"")</f>
        <v/>
      </c>
      <c r="J24" s="2"/>
      <c r="K24" s="24" t="n">
        <v>19</v>
      </c>
      <c r="L24" s="25" t="str">
        <f aca="false">IFERROR(INDEX(CONG_VIEC!$C$6:$C$305,MATCH(K24,CONG_VIEC!$V$6:$V$305,0))&amp;"","")</f>
        <v/>
      </c>
      <c r="M24" s="20" t="str">
        <f aca="false">IFERROR(INDEX(CONG_VIEC!$F$6:$F$305,MATCH(K24,CONG_VIEC!$V$6:$V$305,0))&amp;"","")</f>
        <v/>
      </c>
      <c r="N24" s="26" t="str">
        <f aca="false">IFERROR(INDEX(CONG_VIEC!$J$6:$J$305,MATCH(K24,CONG_VIEC!$V$6:$V$305,0)),"")</f>
        <v/>
      </c>
      <c r="O24" s="2"/>
      <c r="P24" s="24" t="n">
        <v>19</v>
      </c>
      <c r="Q24" s="25" t="str">
        <f aca="false">IFERROR(INDEX(CONG_VIEC!$C$6:$C$305,MATCH(P24,CONG_VIEC!$W$6:$W$305,0))&amp;"","")</f>
        <v/>
      </c>
      <c r="R24" s="20" t="str">
        <f aca="false">IFERROR(INDEX(CONG_VIEC!$F$6:$F$305,MATCH(P24,CONG_VIEC!$W$6:$W$305,0))&amp;"","")</f>
        <v/>
      </c>
      <c r="S24" s="26" t="str">
        <f aca="false">IFERROR(INDEX(CONG_VIEC!$J$6:$J$305,MATCH(P24,CONG_VIEC!$W$6:$W$305,0)),"")</f>
        <v/>
      </c>
    </row>
    <row r="25" customFormat="false" ht="15" hidden="false" customHeight="false" outlineLevel="0" collapsed="false">
      <c r="A25" s="24" t="n">
        <v>20</v>
      </c>
      <c r="B25" s="25" t="str">
        <f aca="false">IFERROR(INDEX(CONG_VIEC!$C$6:$C$305,MATCH(A25,CONG_VIEC!$T$6:$T$305,0))&amp;"","")</f>
        <v/>
      </c>
      <c r="C25" s="20" t="str">
        <f aca="false">IFERROR(INDEX(CONG_VIEC!$F$6:$F$305,MATCH(A25,CONG_VIEC!$T$6:$T$305,0))&amp;"","")</f>
        <v/>
      </c>
      <c r="D25" s="26" t="str">
        <f aca="false">IFERROR(INDEX(CONG_VIEC!$J$6:$J$305,MATCH(A25,CONG_VIEC!$T$6:$T$305,0)),"")</f>
        <v/>
      </c>
      <c r="E25" s="2"/>
      <c r="F25" s="24" t="n">
        <v>20</v>
      </c>
      <c r="G25" s="25" t="str">
        <f aca="false">IFERROR(INDEX(CONG_VIEC!$C$6:$C$305,MATCH(F25,CONG_VIEC!$U$6:$U$305,0))&amp;"","")</f>
        <v/>
      </c>
      <c r="H25" s="20" t="str">
        <f aca="false">IFERROR(INDEX(CONG_VIEC!$F$6:$F$305,MATCH(F25,CONG_VIEC!$U$6:$U$305,0))&amp;"","")</f>
        <v/>
      </c>
      <c r="I25" s="26" t="str">
        <f aca="false">IFERROR(INDEX(CONG_VIEC!$J$6:$J$305,MATCH(F25,CONG_VIEC!$U$6:$U$305,0)),"")</f>
        <v/>
      </c>
      <c r="J25" s="2"/>
      <c r="K25" s="24" t="n">
        <v>20</v>
      </c>
      <c r="L25" s="25" t="str">
        <f aca="false">IFERROR(INDEX(CONG_VIEC!$C$6:$C$305,MATCH(K25,CONG_VIEC!$V$6:$V$305,0))&amp;"","")</f>
        <v/>
      </c>
      <c r="M25" s="20" t="str">
        <f aca="false">IFERROR(INDEX(CONG_VIEC!$F$6:$F$305,MATCH(K25,CONG_VIEC!$V$6:$V$305,0))&amp;"","")</f>
        <v/>
      </c>
      <c r="N25" s="26" t="str">
        <f aca="false">IFERROR(INDEX(CONG_VIEC!$J$6:$J$305,MATCH(K25,CONG_VIEC!$V$6:$V$305,0)),"")</f>
        <v/>
      </c>
      <c r="O25" s="2"/>
      <c r="P25" s="24" t="n">
        <v>20</v>
      </c>
      <c r="Q25" s="25" t="str">
        <f aca="false">IFERROR(INDEX(CONG_VIEC!$C$6:$C$305,MATCH(P25,CONG_VIEC!$W$6:$W$305,0))&amp;"","")</f>
        <v/>
      </c>
      <c r="R25" s="20" t="str">
        <f aca="false">IFERROR(INDEX(CONG_VIEC!$F$6:$F$305,MATCH(P25,CONG_VIEC!$W$6:$W$305,0))&amp;"","")</f>
        <v/>
      </c>
      <c r="S25" s="26" t="str">
        <f aca="false">IFERROR(INDEX(CONG_VIEC!$J$6:$J$305,MATCH(P25,CONG_VIEC!$W$6:$W$305,0)),"")</f>
        <v/>
      </c>
    </row>
    <row r="26" customFormat="false" ht="15" hidden="false" customHeight="false" outlineLevel="0" collapsed="false">
      <c r="A26" s="24" t="n">
        <v>21</v>
      </c>
      <c r="B26" s="25" t="str">
        <f aca="false">IFERROR(INDEX(CONG_VIEC!$C$6:$C$305,MATCH(A26,CONG_VIEC!$T$6:$T$305,0))&amp;"","")</f>
        <v/>
      </c>
      <c r="C26" s="20" t="str">
        <f aca="false">IFERROR(INDEX(CONG_VIEC!$F$6:$F$305,MATCH(A26,CONG_VIEC!$T$6:$T$305,0))&amp;"","")</f>
        <v/>
      </c>
      <c r="D26" s="26" t="str">
        <f aca="false">IFERROR(INDEX(CONG_VIEC!$J$6:$J$305,MATCH(A26,CONG_VIEC!$T$6:$T$305,0)),"")</f>
        <v/>
      </c>
      <c r="E26" s="2"/>
      <c r="F26" s="24" t="n">
        <v>21</v>
      </c>
      <c r="G26" s="25" t="str">
        <f aca="false">IFERROR(INDEX(CONG_VIEC!$C$6:$C$305,MATCH(F26,CONG_VIEC!$U$6:$U$305,0))&amp;"","")</f>
        <v/>
      </c>
      <c r="H26" s="20" t="str">
        <f aca="false">IFERROR(INDEX(CONG_VIEC!$F$6:$F$305,MATCH(F26,CONG_VIEC!$U$6:$U$305,0))&amp;"","")</f>
        <v/>
      </c>
      <c r="I26" s="26" t="str">
        <f aca="false">IFERROR(INDEX(CONG_VIEC!$J$6:$J$305,MATCH(F26,CONG_VIEC!$U$6:$U$305,0)),"")</f>
        <v/>
      </c>
      <c r="J26" s="2"/>
      <c r="K26" s="24" t="n">
        <v>21</v>
      </c>
      <c r="L26" s="25" t="str">
        <f aca="false">IFERROR(INDEX(CONG_VIEC!$C$6:$C$305,MATCH(K26,CONG_VIEC!$V$6:$V$305,0))&amp;"","")</f>
        <v/>
      </c>
      <c r="M26" s="20" t="str">
        <f aca="false">IFERROR(INDEX(CONG_VIEC!$F$6:$F$305,MATCH(K26,CONG_VIEC!$V$6:$V$305,0))&amp;"","")</f>
        <v/>
      </c>
      <c r="N26" s="26" t="str">
        <f aca="false">IFERROR(INDEX(CONG_VIEC!$J$6:$J$305,MATCH(K26,CONG_VIEC!$V$6:$V$305,0)),"")</f>
        <v/>
      </c>
      <c r="O26" s="2"/>
      <c r="P26" s="24" t="n">
        <v>21</v>
      </c>
      <c r="Q26" s="25" t="str">
        <f aca="false">IFERROR(INDEX(CONG_VIEC!$C$6:$C$305,MATCH(P26,CONG_VIEC!$W$6:$W$305,0))&amp;"","")</f>
        <v/>
      </c>
      <c r="R26" s="20" t="str">
        <f aca="false">IFERROR(INDEX(CONG_VIEC!$F$6:$F$305,MATCH(P26,CONG_VIEC!$W$6:$W$305,0))&amp;"","")</f>
        <v/>
      </c>
      <c r="S26" s="26" t="str">
        <f aca="false">IFERROR(INDEX(CONG_VIEC!$J$6:$J$305,MATCH(P26,CONG_VIEC!$W$6:$W$305,0)),"")</f>
        <v/>
      </c>
    </row>
    <row r="27" customFormat="false" ht="15" hidden="false" customHeight="false" outlineLevel="0" collapsed="false">
      <c r="A27" s="24" t="n">
        <v>22</v>
      </c>
      <c r="B27" s="25" t="str">
        <f aca="false">IFERROR(INDEX(CONG_VIEC!$C$6:$C$305,MATCH(A27,CONG_VIEC!$T$6:$T$305,0))&amp;"","")</f>
        <v/>
      </c>
      <c r="C27" s="20" t="str">
        <f aca="false">IFERROR(INDEX(CONG_VIEC!$F$6:$F$305,MATCH(A27,CONG_VIEC!$T$6:$T$305,0))&amp;"","")</f>
        <v/>
      </c>
      <c r="D27" s="26" t="str">
        <f aca="false">IFERROR(INDEX(CONG_VIEC!$J$6:$J$305,MATCH(A27,CONG_VIEC!$T$6:$T$305,0)),"")</f>
        <v/>
      </c>
      <c r="E27" s="2"/>
      <c r="F27" s="24" t="n">
        <v>22</v>
      </c>
      <c r="G27" s="25" t="str">
        <f aca="false">IFERROR(INDEX(CONG_VIEC!$C$6:$C$305,MATCH(F27,CONG_VIEC!$U$6:$U$305,0))&amp;"","")</f>
        <v/>
      </c>
      <c r="H27" s="20" t="str">
        <f aca="false">IFERROR(INDEX(CONG_VIEC!$F$6:$F$305,MATCH(F27,CONG_VIEC!$U$6:$U$305,0))&amp;"","")</f>
        <v/>
      </c>
      <c r="I27" s="26" t="str">
        <f aca="false">IFERROR(INDEX(CONG_VIEC!$J$6:$J$305,MATCH(F27,CONG_VIEC!$U$6:$U$305,0)),"")</f>
        <v/>
      </c>
      <c r="J27" s="2"/>
      <c r="K27" s="24" t="n">
        <v>22</v>
      </c>
      <c r="L27" s="25" t="str">
        <f aca="false">IFERROR(INDEX(CONG_VIEC!$C$6:$C$305,MATCH(K27,CONG_VIEC!$V$6:$V$305,0))&amp;"","")</f>
        <v/>
      </c>
      <c r="M27" s="20" t="str">
        <f aca="false">IFERROR(INDEX(CONG_VIEC!$F$6:$F$305,MATCH(K27,CONG_VIEC!$V$6:$V$305,0))&amp;"","")</f>
        <v/>
      </c>
      <c r="N27" s="26" t="str">
        <f aca="false">IFERROR(INDEX(CONG_VIEC!$J$6:$J$305,MATCH(K27,CONG_VIEC!$V$6:$V$305,0)),"")</f>
        <v/>
      </c>
      <c r="O27" s="2"/>
      <c r="P27" s="24" t="n">
        <v>22</v>
      </c>
      <c r="Q27" s="25" t="str">
        <f aca="false">IFERROR(INDEX(CONG_VIEC!$C$6:$C$305,MATCH(P27,CONG_VIEC!$W$6:$W$305,0))&amp;"","")</f>
        <v/>
      </c>
      <c r="R27" s="20" t="str">
        <f aca="false">IFERROR(INDEX(CONG_VIEC!$F$6:$F$305,MATCH(P27,CONG_VIEC!$W$6:$W$305,0))&amp;"","")</f>
        <v/>
      </c>
      <c r="S27" s="26" t="str">
        <f aca="false">IFERROR(INDEX(CONG_VIEC!$J$6:$J$305,MATCH(P27,CONG_VIEC!$W$6:$W$305,0)),"")</f>
        <v/>
      </c>
    </row>
    <row r="28" customFormat="false" ht="15" hidden="false" customHeight="false" outlineLevel="0" collapsed="false">
      <c r="A28" s="24" t="n">
        <v>23</v>
      </c>
      <c r="B28" s="25" t="str">
        <f aca="false">IFERROR(INDEX(CONG_VIEC!$C$6:$C$305,MATCH(A28,CONG_VIEC!$T$6:$T$305,0))&amp;"","")</f>
        <v/>
      </c>
      <c r="C28" s="20" t="str">
        <f aca="false">IFERROR(INDEX(CONG_VIEC!$F$6:$F$305,MATCH(A28,CONG_VIEC!$T$6:$T$305,0))&amp;"","")</f>
        <v/>
      </c>
      <c r="D28" s="26" t="str">
        <f aca="false">IFERROR(INDEX(CONG_VIEC!$J$6:$J$305,MATCH(A28,CONG_VIEC!$T$6:$T$305,0)),"")</f>
        <v/>
      </c>
      <c r="E28" s="2"/>
      <c r="F28" s="24" t="n">
        <v>23</v>
      </c>
      <c r="G28" s="25" t="str">
        <f aca="false">IFERROR(INDEX(CONG_VIEC!$C$6:$C$305,MATCH(F28,CONG_VIEC!$U$6:$U$305,0))&amp;"","")</f>
        <v/>
      </c>
      <c r="H28" s="20" t="str">
        <f aca="false">IFERROR(INDEX(CONG_VIEC!$F$6:$F$305,MATCH(F28,CONG_VIEC!$U$6:$U$305,0))&amp;"","")</f>
        <v/>
      </c>
      <c r="I28" s="26" t="str">
        <f aca="false">IFERROR(INDEX(CONG_VIEC!$J$6:$J$305,MATCH(F28,CONG_VIEC!$U$6:$U$305,0)),"")</f>
        <v/>
      </c>
      <c r="J28" s="2"/>
      <c r="K28" s="24" t="n">
        <v>23</v>
      </c>
      <c r="L28" s="25" t="str">
        <f aca="false">IFERROR(INDEX(CONG_VIEC!$C$6:$C$305,MATCH(K28,CONG_VIEC!$V$6:$V$305,0))&amp;"","")</f>
        <v/>
      </c>
      <c r="M28" s="20" t="str">
        <f aca="false">IFERROR(INDEX(CONG_VIEC!$F$6:$F$305,MATCH(K28,CONG_VIEC!$V$6:$V$305,0))&amp;"","")</f>
        <v/>
      </c>
      <c r="N28" s="26" t="str">
        <f aca="false">IFERROR(INDEX(CONG_VIEC!$J$6:$J$305,MATCH(K28,CONG_VIEC!$V$6:$V$305,0)),"")</f>
        <v/>
      </c>
      <c r="O28" s="2"/>
      <c r="P28" s="24" t="n">
        <v>23</v>
      </c>
      <c r="Q28" s="25" t="str">
        <f aca="false">IFERROR(INDEX(CONG_VIEC!$C$6:$C$305,MATCH(P28,CONG_VIEC!$W$6:$W$305,0))&amp;"","")</f>
        <v/>
      </c>
      <c r="R28" s="20" t="str">
        <f aca="false">IFERROR(INDEX(CONG_VIEC!$F$6:$F$305,MATCH(P28,CONG_VIEC!$W$6:$W$305,0))&amp;"","")</f>
        <v/>
      </c>
      <c r="S28" s="26" t="str">
        <f aca="false">IFERROR(INDEX(CONG_VIEC!$J$6:$J$305,MATCH(P28,CONG_VIEC!$W$6:$W$305,0)),"")</f>
        <v/>
      </c>
    </row>
    <row r="29" customFormat="false" ht="15" hidden="false" customHeight="false" outlineLevel="0" collapsed="false">
      <c r="A29" s="24" t="n">
        <v>24</v>
      </c>
      <c r="B29" s="25" t="str">
        <f aca="false">IFERROR(INDEX(CONG_VIEC!$C$6:$C$305,MATCH(A29,CONG_VIEC!$T$6:$T$305,0))&amp;"","")</f>
        <v/>
      </c>
      <c r="C29" s="20" t="str">
        <f aca="false">IFERROR(INDEX(CONG_VIEC!$F$6:$F$305,MATCH(A29,CONG_VIEC!$T$6:$T$305,0))&amp;"","")</f>
        <v/>
      </c>
      <c r="D29" s="26" t="str">
        <f aca="false">IFERROR(INDEX(CONG_VIEC!$J$6:$J$305,MATCH(A29,CONG_VIEC!$T$6:$T$305,0)),"")</f>
        <v/>
      </c>
      <c r="E29" s="2"/>
      <c r="F29" s="24" t="n">
        <v>24</v>
      </c>
      <c r="G29" s="25" t="str">
        <f aca="false">IFERROR(INDEX(CONG_VIEC!$C$6:$C$305,MATCH(F29,CONG_VIEC!$U$6:$U$305,0))&amp;"","")</f>
        <v/>
      </c>
      <c r="H29" s="20" t="str">
        <f aca="false">IFERROR(INDEX(CONG_VIEC!$F$6:$F$305,MATCH(F29,CONG_VIEC!$U$6:$U$305,0))&amp;"","")</f>
        <v/>
      </c>
      <c r="I29" s="26" t="str">
        <f aca="false">IFERROR(INDEX(CONG_VIEC!$J$6:$J$305,MATCH(F29,CONG_VIEC!$U$6:$U$305,0)),"")</f>
        <v/>
      </c>
      <c r="J29" s="2"/>
      <c r="K29" s="24" t="n">
        <v>24</v>
      </c>
      <c r="L29" s="25" t="str">
        <f aca="false">IFERROR(INDEX(CONG_VIEC!$C$6:$C$305,MATCH(K29,CONG_VIEC!$V$6:$V$305,0))&amp;"","")</f>
        <v/>
      </c>
      <c r="M29" s="20" t="str">
        <f aca="false">IFERROR(INDEX(CONG_VIEC!$F$6:$F$305,MATCH(K29,CONG_VIEC!$V$6:$V$305,0))&amp;"","")</f>
        <v/>
      </c>
      <c r="N29" s="26" t="str">
        <f aca="false">IFERROR(INDEX(CONG_VIEC!$J$6:$J$305,MATCH(K29,CONG_VIEC!$V$6:$V$305,0)),"")</f>
        <v/>
      </c>
      <c r="O29" s="2"/>
      <c r="P29" s="24" t="n">
        <v>24</v>
      </c>
      <c r="Q29" s="25" t="str">
        <f aca="false">IFERROR(INDEX(CONG_VIEC!$C$6:$C$305,MATCH(P29,CONG_VIEC!$W$6:$W$305,0))&amp;"","")</f>
        <v/>
      </c>
      <c r="R29" s="20" t="str">
        <f aca="false">IFERROR(INDEX(CONG_VIEC!$F$6:$F$305,MATCH(P29,CONG_VIEC!$W$6:$W$305,0))&amp;"","")</f>
        <v/>
      </c>
      <c r="S29" s="26" t="str">
        <f aca="false">IFERROR(INDEX(CONG_VIEC!$J$6:$J$305,MATCH(P29,CONG_VIEC!$W$6:$W$305,0)),"")</f>
        <v/>
      </c>
    </row>
    <row r="30" customFormat="false" ht="15" hidden="false" customHeight="false" outlineLevel="0" collapsed="false">
      <c r="A30" s="24" t="n">
        <v>25</v>
      </c>
      <c r="B30" s="25" t="str">
        <f aca="false">IFERROR(INDEX(CONG_VIEC!$C$6:$C$305,MATCH(A30,CONG_VIEC!$T$6:$T$305,0))&amp;"","")</f>
        <v/>
      </c>
      <c r="C30" s="20" t="str">
        <f aca="false">IFERROR(INDEX(CONG_VIEC!$F$6:$F$305,MATCH(A30,CONG_VIEC!$T$6:$T$305,0))&amp;"","")</f>
        <v/>
      </c>
      <c r="D30" s="26" t="str">
        <f aca="false">IFERROR(INDEX(CONG_VIEC!$J$6:$J$305,MATCH(A30,CONG_VIEC!$T$6:$T$305,0)),"")</f>
        <v/>
      </c>
      <c r="E30" s="2"/>
      <c r="F30" s="24" t="n">
        <v>25</v>
      </c>
      <c r="G30" s="25" t="str">
        <f aca="false">IFERROR(INDEX(CONG_VIEC!$C$6:$C$305,MATCH(F30,CONG_VIEC!$U$6:$U$305,0))&amp;"","")</f>
        <v/>
      </c>
      <c r="H30" s="20" t="str">
        <f aca="false">IFERROR(INDEX(CONG_VIEC!$F$6:$F$305,MATCH(F30,CONG_VIEC!$U$6:$U$305,0))&amp;"","")</f>
        <v/>
      </c>
      <c r="I30" s="26" t="str">
        <f aca="false">IFERROR(INDEX(CONG_VIEC!$J$6:$J$305,MATCH(F30,CONG_VIEC!$U$6:$U$305,0)),"")</f>
        <v/>
      </c>
      <c r="J30" s="2"/>
      <c r="K30" s="24" t="n">
        <v>25</v>
      </c>
      <c r="L30" s="25" t="str">
        <f aca="false">IFERROR(INDEX(CONG_VIEC!$C$6:$C$305,MATCH(K30,CONG_VIEC!$V$6:$V$305,0))&amp;"","")</f>
        <v/>
      </c>
      <c r="M30" s="20" t="str">
        <f aca="false">IFERROR(INDEX(CONG_VIEC!$F$6:$F$305,MATCH(K30,CONG_VIEC!$V$6:$V$305,0))&amp;"","")</f>
        <v/>
      </c>
      <c r="N30" s="26" t="str">
        <f aca="false">IFERROR(INDEX(CONG_VIEC!$J$6:$J$305,MATCH(K30,CONG_VIEC!$V$6:$V$305,0)),"")</f>
        <v/>
      </c>
      <c r="O30" s="2"/>
      <c r="P30" s="24" t="n">
        <v>25</v>
      </c>
      <c r="Q30" s="25" t="str">
        <f aca="false">IFERROR(INDEX(CONG_VIEC!$C$6:$C$305,MATCH(P30,CONG_VIEC!$W$6:$W$305,0))&amp;"","")</f>
        <v/>
      </c>
      <c r="R30" s="20" t="str">
        <f aca="false">IFERROR(INDEX(CONG_VIEC!$F$6:$F$305,MATCH(P30,CONG_VIEC!$W$6:$W$305,0))&amp;"","")</f>
        <v/>
      </c>
      <c r="S30" s="26" t="str">
        <f aca="false">IFERROR(INDEX(CONG_VIEC!$J$6:$J$305,MATCH(P30,CONG_VIEC!$W$6:$W$305,0)),"")</f>
        <v/>
      </c>
    </row>
    <row r="31" customFormat="false" ht="15" hidden="false" customHeight="false" outlineLevel="0" collapsed="false">
      <c r="A31" s="24" t="n">
        <v>26</v>
      </c>
      <c r="B31" s="25" t="str">
        <f aca="false">IFERROR(INDEX(CONG_VIEC!$C$6:$C$305,MATCH(A31,CONG_VIEC!$T$6:$T$305,0))&amp;"","")</f>
        <v/>
      </c>
      <c r="C31" s="20" t="str">
        <f aca="false">IFERROR(INDEX(CONG_VIEC!$F$6:$F$305,MATCH(A31,CONG_VIEC!$T$6:$T$305,0))&amp;"","")</f>
        <v/>
      </c>
      <c r="D31" s="26" t="str">
        <f aca="false">IFERROR(INDEX(CONG_VIEC!$J$6:$J$305,MATCH(A31,CONG_VIEC!$T$6:$T$305,0)),"")</f>
        <v/>
      </c>
      <c r="E31" s="2"/>
      <c r="F31" s="24" t="n">
        <v>26</v>
      </c>
      <c r="G31" s="25" t="str">
        <f aca="false">IFERROR(INDEX(CONG_VIEC!$C$6:$C$305,MATCH(F31,CONG_VIEC!$U$6:$U$305,0))&amp;"","")</f>
        <v/>
      </c>
      <c r="H31" s="20" t="str">
        <f aca="false">IFERROR(INDEX(CONG_VIEC!$F$6:$F$305,MATCH(F31,CONG_VIEC!$U$6:$U$305,0))&amp;"","")</f>
        <v/>
      </c>
      <c r="I31" s="26" t="str">
        <f aca="false">IFERROR(INDEX(CONG_VIEC!$J$6:$J$305,MATCH(F31,CONG_VIEC!$U$6:$U$305,0)),"")</f>
        <v/>
      </c>
      <c r="J31" s="2"/>
      <c r="K31" s="24" t="n">
        <v>26</v>
      </c>
      <c r="L31" s="25" t="str">
        <f aca="false">IFERROR(INDEX(CONG_VIEC!$C$6:$C$305,MATCH(K31,CONG_VIEC!$V$6:$V$305,0))&amp;"","")</f>
        <v/>
      </c>
      <c r="M31" s="20" t="str">
        <f aca="false">IFERROR(INDEX(CONG_VIEC!$F$6:$F$305,MATCH(K31,CONG_VIEC!$V$6:$V$305,0))&amp;"","")</f>
        <v/>
      </c>
      <c r="N31" s="26" t="str">
        <f aca="false">IFERROR(INDEX(CONG_VIEC!$J$6:$J$305,MATCH(K31,CONG_VIEC!$V$6:$V$305,0)),"")</f>
        <v/>
      </c>
      <c r="O31" s="2"/>
      <c r="P31" s="24" t="n">
        <v>26</v>
      </c>
      <c r="Q31" s="25" t="str">
        <f aca="false">IFERROR(INDEX(CONG_VIEC!$C$6:$C$305,MATCH(P31,CONG_VIEC!$W$6:$W$305,0))&amp;"","")</f>
        <v/>
      </c>
      <c r="R31" s="20" t="str">
        <f aca="false">IFERROR(INDEX(CONG_VIEC!$F$6:$F$305,MATCH(P31,CONG_VIEC!$W$6:$W$305,0))&amp;"","")</f>
        <v/>
      </c>
      <c r="S31" s="26" t="str">
        <f aca="false">IFERROR(INDEX(CONG_VIEC!$J$6:$J$305,MATCH(P31,CONG_VIEC!$W$6:$W$305,0)),"")</f>
        <v/>
      </c>
    </row>
    <row r="32" customFormat="false" ht="15" hidden="false" customHeight="false" outlineLevel="0" collapsed="false">
      <c r="A32" s="24" t="n">
        <v>27</v>
      </c>
      <c r="B32" s="25" t="str">
        <f aca="false">IFERROR(INDEX(CONG_VIEC!$C$6:$C$305,MATCH(A32,CONG_VIEC!$T$6:$T$305,0))&amp;"","")</f>
        <v/>
      </c>
      <c r="C32" s="20" t="str">
        <f aca="false">IFERROR(INDEX(CONG_VIEC!$F$6:$F$305,MATCH(A32,CONG_VIEC!$T$6:$T$305,0))&amp;"","")</f>
        <v/>
      </c>
      <c r="D32" s="26" t="str">
        <f aca="false">IFERROR(INDEX(CONG_VIEC!$J$6:$J$305,MATCH(A32,CONG_VIEC!$T$6:$T$305,0)),"")</f>
        <v/>
      </c>
      <c r="E32" s="2"/>
      <c r="F32" s="24" t="n">
        <v>27</v>
      </c>
      <c r="G32" s="25" t="str">
        <f aca="false">IFERROR(INDEX(CONG_VIEC!$C$6:$C$305,MATCH(F32,CONG_VIEC!$U$6:$U$305,0))&amp;"","")</f>
        <v/>
      </c>
      <c r="H32" s="20" t="str">
        <f aca="false">IFERROR(INDEX(CONG_VIEC!$F$6:$F$305,MATCH(F32,CONG_VIEC!$U$6:$U$305,0))&amp;"","")</f>
        <v/>
      </c>
      <c r="I32" s="26" t="str">
        <f aca="false">IFERROR(INDEX(CONG_VIEC!$J$6:$J$305,MATCH(F32,CONG_VIEC!$U$6:$U$305,0)),"")</f>
        <v/>
      </c>
      <c r="J32" s="2"/>
      <c r="K32" s="24" t="n">
        <v>27</v>
      </c>
      <c r="L32" s="25" t="str">
        <f aca="false">IFERROR(INDEX(CONG_VIEC!$C$6:$C$305,MATCH(K32,CONG_VIEC!$V$6:$V$305,0))&amp;"","")</f>
        <v/>
      </c>
      <c r="M32" s="20" t="str">
        <f aca="false">IFERROR(INDEX(CONG_VIEC!$F$6:$F$305,MATCH(K32,CONG_VIEC!$V$6:$V$305,0))&amp;"","")</f>
        <v/>
      </c>
      <c r="N32" s="26" t="str">
        <f aca="false">IFERROR(INDEX(CONG_VIEC!$J$6:$J$305,MATCH(K32,CONG_VIEC!$V$6:$V$305,0)),"")</f>
        <v/>
      </c>
      <c r="O32" s="2"/>
      <c r="P32" s="24" t="n">
        <v>27</v>
      </c>
      <c r="Q32" s="25" t="str">
        <f aca="false">IFERROR(INDEX(CONG_VIEC!$C$6:$C$305,MATCH(P32,CONG_VIEC!$W$6:$W$305,0))&amp;"","")</f>
        <v/>
      </c>
      <c r="R32" s="20" t="str">
        <f aca="false">IFERROR(INDEX(CONG_VIEC!$F$6:$F$305,MATCH(P32,CONG_VIEC!$W$6:$W$305,0))&amp;"","")</f>
        <v/>
      </c>
      <c r="S32" s="26" t="str">
        <f aca="false">IFERROR(INDEX(CONG_VIEC!$J$6:$J$305,MATCH(P32,CONG_VIEC!$W$6:$W$305,0)),"")</f>
        <v/>
      </c>
    </row>
    <row r="33" customFormat="false" ht="15" hidden="false" customHeight="false" outlineLevel="0" collapsed="false">
      <c r="A33" s="24" t="n">
        <v>28</v>
      </c>
      <c r="B33" s="25" t="str">
        <f aca="false">IFERROR(INDEX(CONG_VIEC!$C$6:$C$305,MATCH(A33,CONG_VIEC!$T$6:$T$305,0))&amp;"","")</f>
        <v/>
      </c>
      <c r="C33" s="20" t="str">
        <f aca="false">IFERROR(INDEX(CONG_VIEC!$F$6:$F$305,MATCH(A33,CONG_VIEC!$T$6:$T$305,0))&amp;"","")</f>
        <v/>
      </c>
      <c r="D33" s="26" t="str">
        <f aca="false">IFERROR(INDEX(CONG_VIEC!$J$6:$J$305,MATCH(A33,CONG_VIEC!$T$6:$T$305,0)),"")</f>
        <v/>
      </c>
      <c r="E33" s="2"/>
      <c r="F33" s="24" t="n">
        <v>28</v>
      </c>
      <c r="G33" s="25" t="str">
        <f aca="false">IFERROR(INDEX(CONG_VIEC!$C$6:$C$305,MATCH(F33,CONG_VIEC!$U$6:$U$305,0))&amp;"","")</f>
        <v/>
      </c>
      <c r="H33" s="20" t="str">
        <f aca="false">IFERROR(INDEX(CONG_VIEC!$F$6:$F$305,MATCH(F33,CONG_VIEC!$U$6:$U$305,0))&amp;"","")</f>
        <v/>
      </c>
      <c r="I33" s="26" t="str">
        <f aca="false">IFERROR(INDEX(CONG_VIEC!$J$6:$J$305,MATCH(F33,CONG_VIEC!$U$6:$U$305,0)),"")</f>
        <v/>
      </c>
      <c r="J33" s="2"/>
      <c r="K33" s="24" t="n">
        <v>28</v>
      </c>
      <c r="L33" s="25" t="str">
        <f aca="false">IFERROR(INDEX(CONG_VIEC!$C$6:$C$305,MATCH(K33,CONG_VIEC!$V$6:$V$305,0))&amp;"","")</f>
        <v/>
      </c>
      <c r="M33" s="20" t="str">
        <f aca="false">IFERROR(INDEX(CONG_VIEC!$F$6:$F$305,MATCH(K33,CONG_VIEC!$V$6:$V$305,0))&amp;"","")</f>
        <v/>
      </c>
      <c r="N33" s="26" t="str">
        <f aca="false">IFERROR(INDEX(CONG_VIEC!$J$6:$J$305,MATCH(K33,CONG_VIEC!$V$6:$V$305,0)),"")</f>
        <v/>
      </c>
      <c r="O33" s="2"/>
      <c r="P33" s="24" t="n">
        <v>28</v>
      </c>
      <c r="Q33" s="25" t="str">
        <f aca="false">IFERROR(INDEX(CONG_VIEC!$C$6:$C$305,MATCH(P33,CONG_VIEC!$W$6:$W$305,0))&amp;"","")</f>
        <v/>
      </c>
      <c r="R33" s="20" t="str">
        <f aca="false">IFERROR(INDEX(CONG_VIEC!$F$6:$F$305,MATCH(P33,CONG_VIEC!$W$6:$W$305,0))&amp;"","")</f>
        <v/>
      </c>
      <c r="S33" s="26" t="str">
        <f aca="false">IFERROR(INDEX(CONG_VIEC!$J$6:$J$305,MATCH(P33,CONG_VIEC!$W$6:$W$305,0)),"")</f>
        <v/>
      </c>
    </row>
    <row r="34" customFormat="false" ht="15" hidden="false" customHeight="false" outlineLevel="0" collapsed="false">
      <c r="A34" s="24" t="n">
        <v>29</v>
      </c>
      <c r="B34" s="25" t="str">
        <f aca="false">IFERROR(INDEX(CONG_VIEC!$C$6:$C$305,MATCH(A34,CONG_VIEC!$T$6:$T$305,0))&amp;"","")</f>
        <v/>
      </c>
      <c r="C34" s="20" t="str">
        <f aca="false">IFERROR(INDEX(CONG_VIEC!$F$6:$F$305,MATCH(A34,CONG_VIEC!$T$6:$T$305,0))&amp;"","")</f>
        <v/>
      </c>
      <c r="D34" s="26" t="str">
        <f aca="false">IFERROR(INDEX(CONG_VIEC!$J$6:$J$305,MATCH(A34,CONG_VIEC!$T$6:$T$305,0)),"")</f>
        <v/>
      </c>
      <c r="E34" s="2"/>
      <c r="F34" s="24" t="n">
        <v>29</v>
      </c>
      <c r="G34" s="25" t="str">
        <f aca="false">IFERROR(INDEX(CONG_VIEC!$C$6:$C$305,MATCH(F34,CONG_VIEC!$U$6:$U$305,0))&amp;"","")</f>
        <v/>
      </c>
      <c r="H34" s="20" t="str">
        <f aca="false">IFERROR(INDEX(CONG_VIEC!$F$6:$F$305,MATCH(F34,CONG_VIEC!$U$6:$U$305,0))&amp;"","")</f>
        <v/>
      </c>
      <c r="I34" s="26" t="str">
        <f aca="false">IFERROR(INDEX(CONG_VIEC!$J$6:$J$305,MATCH(F34,CONG_VIEC!$U$6:$U$305,0)),"")</f>
        <v/>
      </c>
      <c r="J34" s="2"/>
      <c r="K34" s="24" t="n">
        <v>29</v>
      </c>
      <c r="L34" s="25" t="str">
        <f aca="false">IFERROR(INDEX(CONG_VIEC!$C$6:$C$305,MATCH(K34,CONG_VIEC!$V$6:$V$305,0))&amp;"","")</f>
        <v/>
      </c>
      <c r="M34" s="20" t="str">
        <f aca="false">IFERROR(INDEX(CONG_VIEC!$F$6:$F$305,MATCH(K34,CONG_VIEC!$V$6:$V$305,0))&amp;"","")</f>
        <v/>
      </c>
      <c r="N34" s="26" t="str">
        <f aca="false">IFERROR(INDEX(CONG_VIEC!$J$6:$J$305,MATCH(K34,CONG_VIEC!$V$6:$V$305,0)),"")</f>
        <v/>
      </c>
      <c r="O34" s="2"/>
      <c r="P34" s="24" t="n">
        <v>29</v>
      </c>
      <c r="Q34" s="25" t="str">
        <f aca="false">IFERROR(INDEX(CONG_VIEC!$C$6:$C$305,MATCH(P34,CONG_VIEC!$W$6:$W$305,0))&amp;"","")</f>
        <v/>
      </c>
      <c r="R34" s="20" t="str">
        <f aca="false">IFERROR(INDEX(CONG_VIEC!$F$6:$F$305,MATCH(P34,CONG_VIEC!$W$6:$W$305,0))&amp;"","")</f>
        <v/>
      </c>
      <c r="S34" s="26" t="str">
        <f aca="false">IFERROR(INDEX(CONG_VIEC!$J$6:$J$305,MATCH(P34,CONG_VIEC!$W$6:$W$305,0)),"")</f>
        <v/>
      </c>
    </row>
    <row r="35" customFormat="false" ht="15" hidden="false" customHeight="false" outlineLevel="0" collapsed="false">
      <c r="A35" s="24" t="n">
        <v>30</v>
      </c>
      <c r="B35" s="25" t="str">
        <f aca="false">IFERROR(INDEX(CONG_VIEC!$C$6:$C$305,MATCH(A35,CONG_VIEC!$T$6:$T$305,0))&amp;"","")</f>
        <v/>
      </c>
      <c r="C35" s="20" t="str">
        <f aca="false">IFERROR(INDEX(CONG_VIEC!$F$6:$F$305,MATCH(A35,CONG_VIEC!$T$6:$T$305,0))&amp;"","")</f>
        <v/>
      </c>
      <c r="D35" s="26" t="str">
        <f aca="false">IFERROR(INDEX(CONG_VIEC!$J$6:$J$305,MATCH(A35,CONG_VIEC!$T$6:$T$305,0)),"")</f>
        <v/>
      </c>
      <c r="E35" s="2"/>
      <c r="F35" s="24" t="n">
        <v>30</v>
      </c>
      <c r="G35" s="25" t="str">
        <f aca="false">IFERROR(INDEX(CONG_VIEC!$C$6:$C$305,MATCH(F35,CONG_VIEC!$U$6:$U$305,0))&amp;"","")</f>
        <v/>
      </c>
      <c r="H35" s="20" t="str">
        <f aca="false">IFERROR(INDEX(CONG_VIEC!$F$6:$F$305,MATCH(F35,CONG_VIEC!$U$6:$U$305,0))&amp;"","")</f>
        <v/>
      </c>
      <c r="I35" s="26" t="str">
        <f aca="false">IFERROR(INDEX(CONG_VIEC!$J$6:$J$305,MATCH(F35,CONG_VIEC!$U$6:$U$305,0)),"")</f>
        <v/>
      </c>
      <c r="J35" s="2"/>
      <c r="K35" s="24" t="n">
        <v>30</v>
      </c>
      <c r="L35" s="25" t="str">
        <f aca="false">IFERROR(INDEX(CONG_VIEC!$C$6:$C$305,MATCH(K35,CONG_VIEC!$V$6:$V$305,0))&amp;"","")</f>
        <v/>
      </c>
      <c r="M35" s="20" t="str">
        <f aca="false">IFERROR(INDEX(CONG_VIEC!$F$6:$F$305,MATCH(K35,CONG_VIEC!$V$6:$V$305,0))&amp;"","")</f>
        <v/>
      </c>
      <c r="N35" s="26" t="str">
        <f aca="false">IFERROR(INDEX(CONG_VIEC!$J$6:$J$305,MATCH(K35,CONG_VIEC!$V$6:$V$305,0)),"")</f>
        <v/>
      </c>
      <c r="O35" s="2"/>
      <c r="P35" s="24" t="n">
        <v>30</v>
      </c>
      <c r="Q35" s="25" t="str">
        <f aca="false">IFERROR(INDEX(CONG_VIEC!$C$6:$C$305,MATCH(P35,CONG_VIEC!$W$6:$W$305,0))&amp;"","")</f>
        <v/>
      </c>
      <c r="R35" s="20" t="str">
        <f aca="false">IFERROR(INDEX(CONG_VIEC!$F$6:$F$305,MATCH(P35,CONG_VIEC!$W$6:$W$305,0))&amp;"","")</f>
        <v/>
      </c>
      <c r="S35" s="26" t="str">
        <f aca="false">IFERROR(INDEX(CONG_VIEC!$J$6:$J$305,MATCH(P35,CONG_VIEC!$W$6:$W$305,0)),"")</f>
        <v/>
      </c>
    </row>
    <row r="36" customFormat="false" ht="15" hidden="false" customHeight="false" outlineLevel="0" collapsed="false">
      <c r="A36" s="24" t="n">
        <v>31</v>
      </c>
      <c r="B36" s="25" t="str">
        <f aca="false">IFERROR(INDEX(CONG_VIEC!$C$6:$C$305,MATCH(A36,CONG_VIEC!$T$6:$T$305,0))&amp;"","")</f>
        <v/>
      </c>
      <c r="C36" s="20" t="str">
        <f aca="false">IFERROR(INDEX(CONG_VIEC!$F$6:$F$305,MATCH(A36,CONG_VIEC!$T$6:$T$305,0))&amp;"","")</f>
        <v/>
      </c>
      <c r="D36" s="26" t="str">
        <f aca="false">IFERROR(INDEX(CONG_VIEC!$J$6:$J$305,MATCH(A36,CONG_VIEC!$T$6:$T$305,0)),"")</f>
        <v/>
      </c>
      <c r="E36" s="2"/>
      <c r="F36" s="24" t="n">
        <v>31</v>
      </c>
      <c r="G36" s="25" t="str">
        <f aca="false">IFERROR(INDEX(CONG_VIEC!$C$6:$C$305,MATCH(F36,CONG_VIEC!$U$6:$U$305,0))&amp;"","")</f>
        <v/>
      </c>
      <c r="H36" s="20" t="str">
        <f aca="false">IFERROR(INDEX(CONG_VIEC!$F$6:$F$305,MATCH(F36,CONG_VIEC!$U$6:$U$305,0))&amp;"","")</f>
        <v/>
      </c>
      <c r="I36" s="26" t="str">
        <f aca="false">IFERROR(INDEX(CONG_VIEC!$J$6:$J$305,MATCH(F36,CONG_VIEC!$U$6:$U$305,0)),"")</f>
        <v/>
      </c>
      <c r="J36" s="2"/>
      <c r="K36" s="24" t="n">
        <v>31</v>
      </c>
      <c r="L36" s="25" t="str">
        <f aca="false">IFERROR(INDEX(CONG_VIEC!$C$6:$C$305,MATCH(K36,CONG_VIEC!$V$6:$V$305,0))&amp;"","")</f>
        <v/>
      </c>
      <c r="M36" s="20" t="str">
        <f aca="false">IFERROR(INDEX(CONG_VIEC!$F$6:$F$305,MATCH(K36,CONG_VIEC!$V$6:$V$305,0))&amp;"","")</f>
        <v/>
      </c>
      <c r="N36" s="26" t="str">
        <f aca="false">IFERROR(INDEX(CONG_VIEC!$J$6:$J$305,MATCH(K36,CONG_VIEC!$V$6:$V$305,0)),"")</f>
        <v/>
      </c>
      <c r="O36" s="2"/>
      <c r="P36" s="24" t="n">
        <v>31</v>
      </c>
      <c r="Q36" s="25" t="str">
        <f aca="false">IFERROR(INDEX(CONG_VIEC!$C$6:$C$305,MATCH(P36,CONG_VIEC!$W$6:$W$305,0))&amp;"","")</f>
        <v/>
      </c>
      <c r="R36" s="20" t="str">
        <f aca="false">IFERROR(INDEX(CONG_VIEC!$F$6:$F$305,MATCH(P36,CONG_VIEC!$W$6:$W$305,0))&amp;"","")</f>
        <v/>
      </c>
      <c r="S36" s="26" t="str">
        <f aca="false">IFERROR(INDEX(CONG_VIEC!$J$6:$J$305,MATCH(P36,CONG_VIEC!$W$6:$W$305,0)),"")</f>
        <v/>
      </c>
    </row>
    <row r="37" customFormat="false" ht="15" hidden="false" customHeight="false" outlineLevel="0" collapsed="false">
      <c r="A37" s="24" t="n">
        <v>32</v>
      </c>
      <c r="B37" s="25" t="str">
        <f aca="false">IFERROR(INDEX(CONG_VIEC!$C$6:$C$305,MATCH(A37,CONG_VIEC!$T$6:$T$305,0))&amp;"","")</f>
        <v/>
      </c>
      <c r="C37" s="20" t="str">
        <f aca="false">IFERROR(INDEX(CONG_VIEC!$F$6:$F$305,MATCH(A37,CONG_VIEC!$T$6:$T$305,0))&amp;"","")</f>
        <v/>
      </c>
      <c r="D37" s="26" t="str">
        <f aca="false">IFERROR(INDEX(CONG_VIEC!$J$6:$J$305,MATCH(A37,CONG_VIEC!$T$6:$T$305,0)),"")</f>
        <v/>
      </c>
      <c r="E37" s="2"/>
      <c r="F37" s="24" t="n">
        <v>32</v>
      </c>
      <c r="G37" s="25" t="str">
        <f aca="false">IFERROR(INDEX(CONG_VIEC!$C$6:$C$305,MATCH(F37,CONG_VIEC!$U$6:$U$305,0))&amp;"","")</f>
        <v/>
      </c>
      <c r="H37" s="20" t="str">
        <f aca="false">IFERROR(INDEX(CONG_VIEC!$F$6:$F$305,MATCH(F37,CONG_VIEC!$U$6:$U$305,0))&amp;"","")</f>
        <v/>
      </c>
      <c r="I37" s="26" t="str">
        <f aca="false">IFERROR(INDEX(CONG_VIEC!$J$6:$J$305,MATCH(F37,CONG_VIEC!$U$6:$U$305,0)),"")</f>
        <v/>
      </c>
      <c r="J37" s="2"/>
      <c r="K37" s="24" t="n">
        <v>32</v>
      </c>
      <c r="L37" s="25" t="str">
        <f aca="false">IFERROR(INDEX(CONG_VIEC!$C$6:$C$305,MATCH(K37,CONG_VIEC!$V$6:$V$305,0))&amp;"","")</f>
        <v/>
      </c>
      <c r="M37" s="20" t="str">
        <f aca="false">IFERROR(INDEX(CONG_VIEC!$F$6:$F$305,MATCH(K37,CONG_VIEC!$V$6:$V$305,0))&amp;"","")</f>
        <v/>
      </c>
      <c r="N37" s="26" t="str">
        <f aca="false">IFERROR(INDEX(CONG_VIEC!$J$6:$J$305,MATCH(K37,CONG_VIEC!$V$6:$V$305,0)),"")</f>
        <v/>
      </c>
      <c r="O37" s="2"/>
      <c r="P37" s="24" t="n">
        <v>32</v>
      </c>
      <c r="Q37" s="25" t="str">
        <f aca="false">IFERROR(INDEX(CONG_VIEC!$C$6:$C$305,MATCH(P37,CONG_VIEC!$W$6:$W$305,0))&amp;"","")</f>
        <v/>
      </c>
      <c r="R37" s="20" t="str">
        <f aca="false">IFERROR(INDEX(CONG_VIEC!$F$6:$F$305,MATCH(P37,CONG_VIEC!$W$6:$W$305,0))&amp;"","")</f>
        <v/>
      </c>
      <c r="S37" s="26" t="str">
        <f aca="false">IFERROR(INDEX(CONG_VIEC!$J$6:$J$305,MATCH(P37,CONG_VIEC!$W$6:$W$305,0)),"")</f>
        <v/>
      </c>
    </row>
    <row r="38" customFormat="false" ht="15" hidden="false" customHeight="false" outlineLevel="0" collapsed="false">
      <c r="A38" s="24" t="n">
        <v>33</v>
      </c>
      <c r="B38" s="25" t="str">
        <f aca="false">IFERROR(INDEX(CONG_VIEC!$C$6:$C$305,MATCH(A38,CONG_VIEC!$T$6:$T$305,0))&amp;"","")</f>
        <v/>
      </c>
      <c r="C38" s="20" t="str">
        <f aca="false">IFERROR(INDEX(CONG_VIEC!$F$6:$F$305,MATCH(A38,CONG_VIEC!$T$6:$T$305,0))&amp;"","")</f>
        <v/>
      </c>
      <c r="D38" s="26" t="str">
        <f aca="false">IFERROR(INDEX(CONG_VIEC!$J$6:$J$305,MATCH(A38,CONG_VIEC!$T$6:$T$305,0)),"")</f>
        <v/>
      </c>
      <c r="E38" s="2"/>
      <c r="F38" s="24" t="n">
        <v>33</v>
      </c>
      <c r="G38" s="25" t="str">
        <f aca="false">IFERROR(INDEX(CONG_VIEC!$C$6:$C$305,MATCH(F38,CONG_VIEC!$U$6:$U$305,0))&amp;"","")</f>
        <v/>
      </c>
      <c r="H38" s="20" t="str">
        <f aca="false">IFERROR(INDEX(CONG_VIEC!$F$6:$F$305,MATCH(F38,CONG_VIEC!$U$6:$U$305,0))&amp;"","")</f>
        <v/>
      </c>
      <c r="I38" s="26" t="str">
        <f aca="false">IFERROR(INDEX(CONG_VIEC!$J$6:$J$305,MATCH(F38,CONG_VIEC!$U$6:$U$305,0)),"")</f>
        <v/>
      </c>
      <c r="J38" s="2"/>
      <c r="K38" s="24" t="n">
        <v>33</v>
      </c>
      <c r="L38" s="25" t="str">
        <f aca="false">IFERROR(INDEX(CONG_VIEC!$C$6:$C$305,MATCH(K38,CONG_VIEC!$V$6:$V$305,0))&amp;"","")</f>
        <v/>
      </c>
      <c r="M38" s="20" t="str">
        <f aca="false">IFERROR(INDEX(CONG_VIEC!$F$6:$F$305,MATCH(K38,CONG_VIEC!$V$6:$V$305,0))&amp;"","")</f>
        <v/>
      </c>
      <c r="N38" s="26" t="str">
        <f aca="false">IFERROR(INDEX(CONG_VIEC!$J$6:$J$305,MATCH(K38,CONG_VIEC!$V$6:$V$305,0)),"")</f>
        <v/>
      </c>
      <c r="O38" s="2"/>
      <c r="P38" s="24" t="n">
        <v>33</v>
      </c>
      <c r="Q38" s="25" t="str">
        <f aca="false">IFERROR(INDEX(CONG_VIEC!$C$6:$C$305,MATCH(P38,CONG_VIEC!$W$6:$W$305,0))&amp;"","")</f>
        <v/>
      </c>
      <c r="R38" s="20" t="str">
        <f aca="false">IFERROR(INDEX(CONG_VIEC!$F$6:$F$305,MATCH(P38,CONG_VIEC!$W$6:$W$305,0))&amp;"","")</f>
        <v/>
      </c>
      <c r="S38" s="26" t="str">
        <f aca="false">IFERROR(INDEX(CONG_VIEC!$J$6:$J$305,MATCH(P38,CONG_VIEC!$W$6:$W$305,0)),"")</f>
        <v/>
      </c>
    </row>
    <row r="39" customFormat="false" ht="15" hidden="false" customHeight="false" outlineLevel="0" collapsed="false">
      <c r="A39" s="24" t="n">
        <v>34</v>
      </c>
      <c r="B39" s="25" t="str">
        <f aca="false">IFERROR(INDEX(CONG_VIEC!$C$6:$C$305,MATCH(A39,CONG_VIEC!$T$6:$T$305,0))&amp;"","")</f>
        <v/>
      </c>
      <c r="C39" s="20" t="str">
        <f aca="false">IFERROR(INDEX(CONG_VIEC!$F$6:$F$305,MATCH(A39,CONG_VIEC!$T$6:$T$305,0))&amp;"","")</f>
        <v/>
      </c>
      <c r="D39" s="26" t="str">
        <f aca="false">IFERROR(INDEX(CONG_VIEC!$J$6:$J$305,MATCH(A39,CONG_VIEC!$T$6:$T$305,0)),"")</f>
        <v/>
      </c>
      <c r="E39" s="2"/>
      <c r="F39" s="24" t="n">
        <v>34</v>
      </c>
      <c r="G39" s="25" t="str">
        <f aca="false">IFERROR(INDEX(CONG_VIEC!$C$6:$C$305,MATCH(F39,CONG_VIEC!$U$6:$U$305,0))&amp;"","")</f>
        <v/>
      </c>
      <c r="H39" s="20" t="str">
        <f aca="false">IFERROR(INDEX(CONG_VIEC!$F$6:$F$305,MATCH(F39,CONG_VIEC!$U$6:$U$305,0))&amp;"","")</f>
        <v/>
      </c>
      <c r="I39" s="26" t="str">
        <f aca="false">IFERROR(INDEX(CONG_VIEC!$J$6:$J$305,MATCH(F39,CONG_VIEC!$U$6:$U$305,0)),"")</f>
        <v/>
      </c>
      <c r="J39" s="2"/>
      <c r="K39" s="24" t="n">
        <v>34</v>
      </c>
      <c r="L39" s="25" t="str">
        <f aca="false">IFERROR(INDEX(CONG_VIEC!$C$6:$C$305,MATCH(K39,CONG_VIEC!$V$6:$V$305,0))&amp;"","")</f>
        <v/>
      </c>
      <c r="M39" s="20" t="str">
        <f aca="false">IFERROR(INDEX(CONG_VIEC!$F$6:$F$305,MATCH(K39,CONG_VIEC!$V$6:$V$305,0))&amp;"","")</f>
        <v/>
      </c>
      <c r="N39" s="26" t="str">
        <f aca="false">IFERROR(INDEX(CONG_VIEC!$J$6:$J$305,MATCH(K39,CONG_VIEC!$V$6:$V$305,0)),"")</f>
        <v/>
      </c>
      <c r="O39" s="2"/>
      <c r="P39" s="24" t="n">
        <v>34</v>
      </c>
      <c r="Q39" s="25" t="str">
        <f aca="false">IFERROR(INDEX(CONG_VIEC!$C$6:$C$305,MATCH(P39,CONG_VIEC!$W$6:$W$305,0))&amp;"","")</f>
        <v/>
      </c>
      <c r="R39" s="20" t="str">
        <f aca="false">IFERROR(INDEX(CONG_VIEC!$F$6:$F$305,MATCH(P39,CONG_VIEC!$W$6:$W$305,0))&amp;"","")</f>
        <v/>
      </c>
      <c r="S39" s="26" t="str">
        <f aca="false">IFERROR(INDEX(CONG_VIEC!$J$6:$J$305,MATCH(P39,CONG_VIEC!$W$6:$W$305,0)),"")</f>
        <v/>
      </c>
    </row>
    <row r="40" customFormat="false" ht="15" hidden="false" customHeight="false" outlineLevel="0" collapsed="false">
      <c r="A40" s="24" t="n">
        <v>35</v>
      </c>
      <c r="B40" s="25" t="str">
        <f aca="false">IFERROR(INDEX(CONG_VIEC!$C$6:$C$305,MATCH(A40,CONG_VIEC!$T$6:$T$305,0))&amp;"","")</f>
        <v/>
      </c>
      <c r="C40" s="20" t="str">
        <f aca="false">IFERROR(INDEX(CONG_VIEC!$F$6:$F$305,MATCH(A40,CONG_VIEC!$T$6:$T$305,0))&amp;"","")</f>
        <v/>
      </c>
      <c r="D40" s="26" t="str">
        <f aca="false">IFERROR(INDEX(CONG_VIEC!$J$6:$J$305,MATCH(A40,CONG_VIEC!$T$6:$T$305,0)),"")</f>
        <v/>
      </c>
      <c r="E40" s="2"/>
      <c r="F40" s="24" t="n">
        <v>35</v>
      </c>
      <c r="G40" s="25" t="str">
        <f aca="false">IFERROR(INDEX(CONG_VIEC!$C$6:$C$305,MATCH(F40,CONG_VIEC!$U$6:$U$305,0))&amp;"","")</f>
        <v/>
      </c>
      <c r="H40" s="20" t="str">
        <f aca="false">IFERROR(INDEX(CONG_VIEC!$F$6:$F$305,MATCH(F40,CONG_VIEC!$U$6:$U$305,0))&amp;"","")</f>
        <v/>
      </c>
      <c r="I40" s="26" t="str">
        <f aca="false">IFERROR(INDEX(CONG_VIEC!$J$6:$J$305,MATCH(F40,CONG_VIEC!$U$6:$U$305,0)),"")</f>
        <v/>
      </c>
      <c r="J40" s="2"/>
      <c r="K40" s="24" t="n">
        <v>35</v>
      </c>
      <c r="L40" s="25" t="str">
        <f aca="false">IFERROR(INDEX(CONG_VIEC!$C$6:$C$305,MATCH(K40,CONG_VIEC!$V$6:$V$305,0))&amp;"","")</f>
        <v/>
      </c>
      <c r="M40" s="20" t="str">
        <f aca="false">IFERROR(INDEX(CONG_VIEC!$F$6:$F$305,MATCH(K40,CONG_VIEC!$V$6:$V$305,0))&amp;"","")</f>
        <v/>
      </c>
      <c r="N40" s="26" t="str">
        <f aca="false">IFERROR(INDEX(CONG_VIEC!$J$6:$J$305,MATCH(K40,CONG_VIEC!$V$6:$V$305,0)),"")</f>
        <v/>
      </c>
      <c r="O40" s="2"/>
      <c r="P40" s="24" t="n">
        <v>35</v>
      </c>
      <c r="Q40" s="25" t="str">
        <f aca="false">IFERROR(INDEX(CONG_VIEC!$C$6:$C$305,MATCH(P40,CONG_VIEC!$W$6:$W$305,0))&amp;"","")</f>
        <v/>
      </c>
      <c r="R40" s="20" t="str">
        <f aca="false">IFERROR(INDEX(CONG_VIEC!$F$6:$F$305,MATCH(P40,CONG_VIEC!$W$6:$W$305,0))&amp;"","")</f>
        <v/>
      </c>
      <c r="S40" s="26" t="str">
        <f aca="false">IFERROR(INDEX(CONG_VIEC!$J$6:$J$305,MATCH(P40,CONG_VIEC!$W$6:$W$305,0)),"")</f>
        <v/>
      </c>
    </row>
    <row r="41" customFormat="false" ht="15" hidden="false" customHeight="false" outlineLevel="0" collapsed="false">
      <c r="A41" s="24" t="n">
        <v>36</v>
      </c>
      <c r="B41" s="25" t="str">
        <f aca="false">IFERROR(INDEX(CONG_VIEC!$C$6:$C$305,MATCH(A41,CONG_VIEC!$T$6:$T$305,0))&amp;"","")</f>
        <v/>
      </c>
      <c r="C41" s="20" t="str">
        <f aca="false">IFERROR(INDEX(CONG_VIEC!$F$6:$F$305,MATCH(A41,CONG_VIEC!$T$6:$T$305,0))&amp;"","")</f>
        <v/>
      </c>
      <c r="D41" s="26" t="str">
        <f aca="false">IFERROR(INDEX(CONG_VIEC!$J$6:$J$305,MATCH(A41,CONG_VIEC!$T$6:$T$305,0)),"")</f>
        <v/>
      </c>
      <c r="E41" s="2"/>
      <c r="F41" s="24" t="n">
        <v>36</v>
      </c>
      <c r="G41" s="25" t="str">
        <f aca="false">IFERROR(INDEX(CONG_VIEC!$C$6:$C$305,MATCH(F41,CONG_VIEC!$U$6:$U$305,0))&amp;"","")</f>
        <v/>
      </c>
      <c r="H41" s="20" t="str">
        <f aca="false">IFERROR(INDEX(CONG_VIEC!$F$6:$F$305,MATCH(F41,CONG_VIEC!$U$6:$U$305,0))&amp;"","")</f>
        <v/>
      </c>
      <c r="I41" s="26" t="str">
        <f aca="false">IFERROR(INDEX(CONG_VIEC!$J$6:$J$305,MATCH(F41,CONG_VIEC!$U$6:$U$305,0)),"")</f>
        <v/>
      </c>
      <c r="J41" s="2"/>
      <c r="K41" s="24" t="n">
        <v>36</v>
      </c>
      <c r="L41" s="25" t="str">
        <f aca="false">IFERROR(INDEX(CONG_VIEC!$C$6:$C$305,MATCH(K41,CONG_VIEC!$V$6:$V$305,0))&amp;"","")</f>
        <v/>
      </c>
      <c r="M41" s="20" t="str">
        <f aca="false">IFERROR(INDEX(CONG_VIEC!$F$6:$F$305,MATCH(K41,CONG_VIEC!$V$6:$V$305,0))&amp;"","")</f>
        <v/>
      </c>
      <c r="N41" s="26" t="str">
        <f aca="false">IFERROR(INDEX(CONG_VIEC!$J$6:$J$305,MATCH(K41,CONG_VIEC!$V$6:$V$305,0)),"")</f>
        <v/>
      </c>
      <c r="O41" s="2"/>
      <c r="P41" s="24" t="n">
        <v>36</v>
      </c>
      <c r="Q41" s="25" t="str">
        <f aca="false">IFERROR(INDEX(CONG_VIEC!$C$6:$C$305,MATCH(P41,CONG_VIEC!$W$6:$W$305,0))&amp;"","")</f>
        <v/>
      </c>
      <c r="R41" s="20" t="str">
        <f aca="false">IFERROR(INDEX(CONG_VIEC!$F$6:$F$305,MATCH(P41,CONG_VIEC!$W$6:$W$305,0))&amp;"","")</f>
        <v/>
      </c>
      <c r="S41" s="26" t="str">
        <f aca="false">IFERROR(INDEX(CONG_VIEC!$J$6:$J$305,MATCH(P41,CONG_VIEC!$W$6:$W$305,0)),"")</f>
        <v/>
      </c>
    </row>
    <row r="42" customFormat="false" ht="15" hidden="false" customHeight="false" outlineLevel="0" collapsed="false">
      <c r="A42" s="24" t="n">
        <v>37</v>
      </c>
      <c r="B42" s="25" t="str">
        <f aca="false">IFERROR(INDEX(CONG_VIEC!$C$6:$C$305,MATCH(A42,CONG_VIEC!$T$6:$T$305,0))&amp;"","")</f>
        <v/>
      </c>
      <c r="C42" s="20" t="str">
        <f aca="false">IFERROR(INDEX(CONG_VIEC!$F$6:$F$305,MATCH(A42,CONG_VIEC!$T$6:$T$305,0))&amp;"","")</f>
        <v/>
      </c>
      <c r="D42" s="26" t="str">
        <f aca="false">IFERROR(INDEX(CONG_VIEC!$J$6:$J$305,MATCH(A42,CONG_VIEC!$T$6:$T$305,0)),"")</f>
        <v/>
      </c>
      <c r="E42" s="2"/>
      <c r="F42" s="24" t="n">
        <v>37</v>
      </c>
      <c r="G42" s="25" t="str">
        <f aca="false">IFERROR(INDEX(CONG_VIEC!$C$6:$C$305,MATCH(F42,CONG_VIEC!$U$6:$U$305,0))&amp;"","")</f>
        <v/>
      </c>
      <c r="H42" s="20" t="str">
        <f aca="false">IFERROR(INDEX(CONG_VIEC!$F$6:$F$305,MATCH(F42,CONG_VIEC!$U$6:$U$305,0))&amp;"","")</f>
        <v/>
      </c>
      <c r="I42" s="26" t="str">
        <f aca="false">IFERROR(INDEX(CONG_VIEC!$J$6:$J$305,MATCH(F42,CONG_VIEC!$U$6:$U$305,0)),"")</f>
        <v/>
      </c>
      <c r="J42" s="2"/>
      <c r="K42" s="24" t="n">
        <v>37</v>
      </c>
      <c r="L42" s="25" t="str">
        <f aca="false">IFERROR(INDEX(CONG_VIEC!$C$6:$C$305,MATCH(K42,CONG_VIEC!$V$6:$V$305,0))&amp;"","")</f>
        <v/>
      </c>
      <c r="M42" s="20" t="str">
        <f aca="false">IFERROR(INDEX(CONG_VIEC!$F$6:$F$305,MATCH(K42,CONG_VIEC!$V$6:$V$305,0))&amp;"","")</f>
        <v/>
      </c>
      <c r="N42" s="26" t="str">
        <f aca="false">IFERROR(INDEX(CONG_VIEC!$J$6:$J$305,MATCH(K42,CONG_VIEC!$V$6:$V$305,0)),"")</f>
        <v/>
      </c>
      <c r="O42" s="2"/>
      <c r="P42" s="24" t="n">
        <v>37</v>
      </c>
      <c r="Q42" s="25" t="str">
        <f aca="false">IFERROR(INDEX(CONG_VIEC!$C$6:$C$305,MATCH(P42,CONG_VIEC!$W$6:$W$305,0))&amp;"","")</f>
        <v/>
      </c>
      <c r="R42" s="20" t="str">
        <f aca="false">IFERROR(INDEX(CONG_VIEC!$F$6:$F$305,MATCH(P42,CONG_VIEC!$W$6:$W$305,0))&amp;"","")</f>
        <v/>
      </c>
      <c r="S42" s="26" t="str">
        <f aca="false">IFERROR(INDEX(CONG_VIEC!$J$6:$J$305,MATCH(P42,CONG_VIEC!$W$6:$W$305,0)),"")</f>
        <v/>
      </c>
    </row>
    <row r="43" customFormat="false" ht="15" hidden="false" customHeight="false" outlineLevel="0" collapsed="false">
      <c r="A43" s="24" t="n">
        <v>38</v>
      </c>
      <c r="B43" s="25" t="str">
        <f aca="false">IFERROR(INDEX(CONG_VIEC!$C$6:$C$305,MATCH(A43,CONG_VIEC!$T$6:$T$305,0))&amp;"","")</f>
        <v/>
      </c>
      <c r="C43" s="20" t="str">
        <f aca="false">IFERROR(INDEX(CONG_VIEC!$F$6:$F$305,MATCH(A43,CONG_VIEC!$T$6:$T$305,0))&amp;"","")</f>
        <v/>
      </c>
      <c r="D43" s="26" t="str">
        <f aca="false">IFERROR(INDEX(CONG_VIEC!$J$6:$J$305,MATCH(A43,CONG_VIEC!$T$6:$T$305,0)),"")</f>
        <v/>
      </c>
      <c r="E43" s="2"/>
      <c r="F43" s="24" t="n">
        <v>38</v>
      </c>
      <c r="G43" s="25" t="str">
        <f aca="false">IFERROR(INDEX(CONG_VIEC!$C$6:$C$305,MATCH(F43,CONG_VIEC!$U$6:$U$305,0))&amp;"","")</f>
        <v/>
      </c>
      <c r="H43" s="20" t="str">
        <f aca="false">IFERROR(INDEX(CONG_VIEC!$F$6:$F$305,MATCH(F43,CONG_VIEC!$U$6:$U$305,0))&amp;"","")</f>
        <v/>
      </c>
      <c r="I43" s="26" t="str">
        <f aca="false">IFERROR(INDEX(CONG_VIEC!$J$6:$J$305,MATCH(F43,CONG_VIEC!$U$6:$U$305,0)),"")</f>
        <v/>
      </c>
      <c r="J43" s="2"/>
      <c r="K43" s="24" t="n">
        <v>38</v>
      </c>
      <c r="L43" s="25" t="str">
        <f aca="false">IFERROR(INDEX(CONG_VIEC!$C$6:$C$305,MATCH(K43,CONG_VIEC!$V$6:$V$305,0))&amp;"","")</f>
        <v/>
      </c>
      <c r="M43" s="20" t="str">
        <f aca="false">IFERROR(INDEX(CONG_VIEC!$F$6:$F$305,MATCH(K43,CONG_VIEC!$V$6:$V$305,0))&amp;"","")</f>
        <v/>
      </c>
      <c r="N43" s="26" t="str">
        <f aca="false">IFERROR(INDEX(CONG_VIEC!$J$6:$J$305,MATCH(K43,CONG_VIEC!$V$6:$V$305,0)),"")</f>
        <v/>
      </c>
      <c r="O43" s="2"/>
      <c r="P43" s="24" t="n">
        <v>38</v>
      </c>
      <c r="Q43" s="25" t="str">
        <f aca="false">IFERROR(INDEX(CONG_VIEC!$C$6:$C$305,MATCH(P43,CONG_VIEC!$W$6:$W$305,0))&amp;"","")</f>
        <v/>
      </c>
      <c r="R43" s="20" t="str">
        <f aca="false">IFERROR(INDEX(CONG_VIEC!$F$6:$F$305,MATCH(P43,CONG_VIEC!$W$6:$W$305,0))&amp;"","")</f>
        <v/>
      </c>
      <c r="S43" s="26" t="str">
        <f aca="false">IFERROR(INDEX(CONG_VIEC!$J$6:$J$305,MATCH(P43,CONG_VIEC!$W$6:$W$305,0)),"")</f>
        <v/>
      </c>
    </row>
    <row r="44" customFormat="false" ht="15" hidden="false" customHeight="false" outlineLevel="0" collapsed="false">
      <c r="A44" s="24" t="n">
        <v>39</v>
      </c>
      <c r="B44" s="25" t="str">
        <f aca="false">IFERROR(INDEX(CONG_VIEC!$C$6:$C$305,MATCH(A44,CONG_VIEC!$T$6:$T$305,0))&amp;"","")</f>
        <v/>
      </c>
      <c r="C44" s="20" t="str">
        <f aca="false">IFERROR(INDEX(CONG_VIEC!$F$6:$F$305,MATCH(A44,CONG_VIEC!$T$6:$T$305,0))&amp;"","")</f>
        <v/>
      </c>
      <c r="D44" s="26" t="str">
        <f aca="false">IFERROR(INDEX(CONG_VIEC!$J$6:$J$305,MATCH(A44,CONG_VIEC!$T$6:$T$305,0)),"")</f>
        <v/>
      </c>
      <c r="E44" s="2"/>
      <c r="F44" s="24" t="n">
        <v>39</v>
      </c>
      <c r="G44" s="25" t="str">
        <f aca="false">IFERROR(INDEX(CONG_VIEC!$C$6:$C$305,MATCH(F44,CONG_VIEC!$U$6:$U$305,0))&amp;"","")</f>
        <v/>
      </c>
      <c r="H44" s="20" t="str">
        <f aca="false">IFERROR(INDEX(CONG_VIEC!$F$6:$F$305,MATCH(F44,CONG_VIEC!$U$6:$U$305,0))&amp;"","")</f>
        <v/>
      </c>
      <c r="I44" s="26" t="str">
        <f aca="false">IFERROR(INDEX(CONG_VIEC!$J$6:$J$305,MATCH(F44,CONG_VIEC!$U$6:$U$305,0)),"")</f>
        <v/>
      </c>
      <c r="J44" s="2"/>
      <c r="K44" s="24" t="n">
        <v>39</v>
      </c>
      <c r="L44" s="25" t="str">
        <f aca="false">IFERROR(INDEX(CONG_VIEC!$C$6:$C$305,MATCH(K44,CONG_VIEC!$V$6:$V$305,0))&amp;"","")</f>
        <v/>
      </c>
      <c r="M44" s="20" t="str">
        <f aca="false">IFERROR(INDEX(CONG_VIEC!$F$6:$F$305,MATCH(K44,CONG_VIEC!$V$6:$V$305,0))&amp;"","")</f>
        <v/>
      </c>
      <c r="N44" s="26" t="str">
        <f aca="false">IFERROR(INDEX(CONG_VIEC!$J$6:$J$305,MATCH(K44,CONG_VIEC!$V$6:$V$305,0)),"")</f>
        <v/>
      </c>
      <c r="O44" s="2"/>
      <c r="P44" s="24" t="n">
        <v>39</v>
      </c>
      <c r="Q44" s="25" t="str">
        <f aca="false">IFERROR(INDEX(CONG_VIEC!$C$6:$C$305,MATCH(P44,CONG_VIEC!$W$6:$W$305,0))&amp;"","")</f>
        <v/>
      </c>
      <c r="R44" s="20" t="str">
        <f aca="false">IFERROR(INDEX(CONG_VIEC!$F$6:$F$305,MATCH(P44,CONG_VIEC!$W$6:$W$305,0))&amp;"","")</f>
        <v/>
      </c>
      <c r="S44" s="26" t="str">
        <f aca="false">IFERROR(INDEX(CONG_VIEC!$J$6:$J$305,MATCH(P44,CONG_VIEC!$W$6:$W$305,0)),"")</f>
        <v/>
      </c>
    </row>
    <row r="45" customFormat="false" ht="15" hidden="false" customHeight="false" outlineLevel="0" collapsed="false">
      <c r="A45" s="24" t="n">
        <v>40</v>
      </c>
      <c r="B45" s="25" t="str">
        <f aca="false">IFERROR(INDEX(CONG_VIEC!$C$6:$C$305,MATCH(A45,CONG_VIEC!$T$6:$T$305,0))&amp;"","")</f>
        <v/>
      </c>
      <c r="C45" s="20" t="str">
        <f aca="false">IFERROR(INDEX(CONG_VIEC!$F$6:$F$305,MATCH(A45,CONG_VIEC!$T$6:$T$305,0))&amp;"","")</f>
        <v/>
      </c>
      <c r="D45" s="26" t="str">
        <f aca="false">IFERROR(INDEX(CONG_VIEC!$J$6:$J$305,MATCH(A45,CONG_VIEC!$T$6:$T$305,0)),"")</f>
        <v/>
      </c>
      <c r="E45" s="2"/>
      <c r="F45" s="24" t="n">
        <v>40</v>
      </c>
      <c r="G45" s="25" t="str">
        <f aca="false">IFERROR(INDEX(CONG_VIEC!$C$6:$C$305,MATCH(F45,CONG_VIEC!$U$6:$U$305,0))&amp;"","")</f>
        <v/>
      </c>
      <c r="H45" s="20" t="str">
        <f aca="false">IFERROR(INDEX(CONG_VIEC!$F$6:$F$305,MATCH(F45,CONG_VIEC!$U$6:$U$305,0))&amp;"","")</f>
        <v/>
      </c>
      <c r="I45" s="26" t="str">
        <f aca="false">IFERROR(INDEX(CONG_VIEC!$J$6:$J$305,MATCH(F45,CONG_VIEC!$U$6:$U$305,0)),"")</f>
        <v/>
      </c>
      <c r="J45" s="2"/>
      <c r="K45" s="24" t="n">
        <v>40</v>
      </c>
      <c r="L45" s="25" t="str">
        <f aca="false">IFERROR(INDEX(CONG_VIEC!$C$6:$C$305,MATCH(K45,CONG_VIEC!$V$6:$V$305,0))&amp;"","")</f>
        <v/>
      </c>
      <c r="M45" s="20" t="str">
        <f aca="false">IFERROR(INDEX(CONG_VIEC!$F$6:$F$305,MATCH(K45,CONG_VIEC!$V$6:$V$305,0))&amp;"","")</f>
        <v/>
      </c>
      <c r="N45" s="26" t="str">
        <f aca="false">IFERROR(INDEX(CONG_VIEC!$J$6:$J$305,MATCH(K45,CONG_VIEC!$V$6:$V$305,0)),"")</f>
        <v/>
      </c>
      <c r="O45" s="2"/>
      <c r="P45" s="24" t="n">
        <v>40</v>
      </c>
      <c r="Q45" s="25" t="str">
        <f aca="false">IFERROR(INDEX(CONG_VIEC!$C$6:$C$305,MATCH(P45,CONG_VIEC!$W$6:$W$305,0))&amp;"","")</f>
        <v/>
      </c>
      <c r="R45" s="20" t="str">
        <f aca="false">IFERROR(INDEX(CONG_VIEC!$F$6:$F$305,MATCH(P45,CONG_VIEC!$W$6:$W$305,0))&amp;"","")</f>
        <v/>
      </c>
      <c r="S45" s="26" t="str">
        <f aca="false">IFERROR(INDEX(CONG_VIEC!$J$6:$J$305,MATCH(P45,CONG_VIEC!$W$6:$W$305,0)),"")</f>
        <v/>
      </c>
    </row>
    <row r="46" customFormat="false" ht="15" hidden="false" customHeight="false" outlineLevel="0" collapsed="false">
      <c r="A46" s="24" t="n">
        <v>41</v>
      </c>
      <c r="B46" s="25" t="str">
        <f aca="false">IFERROR(INDEX(CONG_VIEC!$C$6:$C$305,MATCH(A46,CONG_VIEC!$T$6:$T$305,0))&amp;"","")</f>
        <v/>
      </c>
      <c r="C46" s="20" t="str">
        <f aca="false">IFERROR(INDEX(CONG_VIEC!$F$6:$F$305,MATCH(A46,CONG_VIEC!$T$6:$T$305,0))&amp;"","")</f>
        <v/>
      </c>
      <c r="D46" s="26" t="str">
        <f aca="false">IFERROR(INDEX(CONG_VIEC!$J$6:$J$305,MATCH(A46,CONG_VIEC!$T$6:$T$305,0)),"")</f>
        <v/>
      </c>
      <c r="E46" s="2"/>
      <c r="F46" s="24" t="n">
        <v>41</v>
      </c>
      <c r="G46" s="25" t="str">
        <f aca="false">IFERROR(INDEX(CONG_VIEC!$C$6:$C$305,MATCH(F46,CONG_VIEC!$U$6:$U$305,0))&amp;"","")</f>
        <v/>
      </c>
      <c r="H46" s="20" t="str">
        <f aca="false">IFERROR(INDEX(CONG_VIEC!$F$6:$F$305,MATCH(F46,CONG_VIEC!$U$6:$U$305,0))&amp;"","")</f>
        <v/>
      </c>
      <c r="I46" s="26" t="str">
        <f aca="false">IFERROR(INDEX(CONG_VIEC!$J$6:$J$305,MATCH(F46,CONG_VIEC!$U$6:$U$305,0)),"")</f>
        <v/>
      </c>
      <c r="J46" s="2"/>
      <c r="K46" s="24" t="n">
        <v>41</v>
      </c>
      <c r="L46" s="25" t="str">
        <f aca="false">IFERROR(INDEX(CONG_VIEC!$C$6:$C$305,MATCH(K46,CONG_VIEC!$V$6:$V$305,0))&amp;"","")</f>
        <v/>
      </c>
      <c r="M46" s="20" t="str">
        <f aca="false">IFERROR(INDEX(CONG_VIEC!$F$6:$F$305,MATCH(K46,CONG_VIEC!$V$6:$V$305,0))&amp;"","")</f>
        <v/>
      </c>
      <c r="N46" s="26" t="str">
        <f aca="false">IFERROR(INDEX(CONG_VIEC!$J$6:$J$305,MATCH(K46,CONG_VIEC!$V$6:$V$305,0)),"")</f>
        <v/>
      </c>
      <c r="O46" s="2"/>
      <c r="P46" s="24" t="n">
        <v>41</v>
      </c>
      <c r="Q46" s="25" t="str">
        <f aca="false">IFERROR(INDEX(CONG_VIEC!$C$6:$C$305,MATCH(P46,CONG_VIEC!$W$6:$W$305,0))&amp;"","")</f>
        <v/>
      </c>
      <c r="R46" s="20" t="str">
        <f aca="false">IFERROR(INDEX(CONG_VIEC!$F$6:$F$305,MATCH(P46,CONG_VIEC!$W$6:$W$305,0))&amp;"","")</f>
        <v/>
      </c>
      <c r="S46" s="26" t="str">
        <f aca="false">IFERROR(INDEX(CONG_VIEC!$J$6:$J$305,MATCH(P46,CONG_VIEC!$W$6:$W$305,0)),"")</f>
        <v/>
      </c>
    </row>
    <row r="47" customFormat="false" ht="15" hidden="false" customHeight="false" outlineLevel="0" collapsed="false">
      <c r="A47" s="24" t="n">
        <v>42</v>
      </c>
      <c r="B47" s="25" t="str">
        <f aca="false">IFERROR(INDEX(CONG_VIEC!$C$6:$C$305,MATCH(A47,CONG_VIEC!$T$6:$T$305,0))&amp;"","")</f>
        <v/>
      </c>
      <c r="C47" s="20" t="str">
        <f aca="false">IFERROR(INDEX(CONG_VIEC!$F$6:$F$305,MATCH(A47,CONG_VIEC!$T$6:$T$305,0))&amp;"","")</f>
        <v/>
      </c>
      <c r="D47" s="26" t="str">
        <f aca="false">IFERROR(INDEX(CONG_VIEC!$J$6:$J$305,MATCH(A47,CONG_VIEC!$T$6:$T$305,0)),"")</f>
        <v/>
      </c>
      <c r="E47" s="2"/>
      <c r="F47" s="24" t="n">
        <v>42</v>
      </c>
      <c r="G47" s="25" t="str">
        <f aca="false">IFERROR(INDEX(CONG_VIEC!$C$6:$C$305,MATCH(F47,CONG_VIEC!$U$6:$U$305,0))&amp;"","")</f>
        <v/>
      </c>
      <c r="H47" s="20" t="str">
        <f aca="false">IFERROR(INDEX(CONG_VIEC!$F$6:$F$305,MATCH(F47,CONG_VIEC!$U$6:$U$305,0))&amp;"","")</f>
        <v/>
      </c>
      <c r="I47" s="26" t="str">
        <f aca="false">IFERROR(INDEX(CONG_VIEC!$J$6:$J$305,MATCH(F47,CONG_VIEC!$U$6:$U$305,0)),"")</f>
        <v/>
      </c>
      <c r="J47" s="2"/>
      <c r="K47" s="24" t="n">
        <v>42</v>
      </c>
      <c r="L47" s="25" t="str">
        <f aca="false">IFERROR(INDEX(CONG_VIEC!$C$6:$C$305,MATCH(K47,CONG_VIEC!$V$6:$V$305,0))&amp;"","")</f>
        <v/>
      </c>
      <c r="M47" s="20" t="str">
        <f aca="false">IFERROR(INDEX(CONG_VIEC!$F$6:$F$305,MATCH(K47,CONG_VIEC!$V$6:$V$305,0))&amp;"","")</f>
        <v/>
      </c>
      <c r="N47" s="26" t="str">
        <f aca="false">IFERROR(INDEX(CONG_VIEC!$J$6:$J$305,MATCH(K47,CONG_VIEC!$V$6:$V$305,0)),"")</f>
        <v/>
      </c>
      <c r="O47" s="2"/>
      <c r="P47" s="24" t="n">
        <v>42</v>
      </c>
      <c r="Q47" s="25" t="str">
        <f aca="false">IFERROR(INDEX(CONG_VIEC!$C$6:$C$305,MATCH(P47,CONG_VIEC!$W$6:$W$305,0))&amp;"","")</f>
        <v/>
      </c>
      <c r="R47" s="20" t="str">
        <f aca="false">IFERROR(INDEX(CONG_VIEC!$F$6:$F$305,MATCH(P47,CONG_VIEC!$W$6:$W$305,0))&amp;"","")</f>
        <v/>
      </c>
      <c r="S47" s="26" t="str">
        <f aca="false">IFERROR(INDEX(CONG_VIEC!$J$6:$J$305,MATCH(P47,CONG_VIEC!$W$6:$W$305,0)),"")</f>
        <v/>
      </c>
    </row>
    <row r="48" customFormat="false" ht="15" hidden="false" customHeight="false" outlineLevel="0" collapsed="false">
      <c r="A48" s="24" t="n">
        <v>43</v>
      </c>
      <c r="B48" s="25" t="str">
        <f aca="false">IFERROR(INDEX(CONG_VIEC!$C$6:$C$305,MATCH(A48,CONG_VIEC!$T$6:$T$305,0))&amp;"","")</f>
        <v/>
      </c>
      <c r="C48" s="20" t="str">
        <f aca="false">IFERROR(INDEX(CONG_VIEC!$F$6:$F$305,MATCH(A48,CONG_VIEC!$T$6:$T$305,0))&amp;"","")</f>
        <v/>
      </c>
      <c r="D48" s="26" t="str">
        <f aca="false">IFERROR(INDEX(CONG_VIEC!$J$6:$J$305,MATCH(A48,CONG_VIEC!$T$6:$T$305,0)),"")</f>
        <v/>
      </c>
      <c r="E48" s="2"/>
      <c r="F48" s="24" t="n">
        <v>43</v>
      </c>
      <c r="G48" s="25" t="str">
        <f aca="false">IFERROR(INDEX(CONG_VIEC!$C$6:$C$305,MATCH(F48,CONG_VIEC!$U$6:$U$305,0))&amp;"","")</f>
        <v/>
      </c>
      <c r="H48" s="20" t="str">
        <f aca="false">IFERROR(INDEX(CONG_VIEC!$F$6:$F$305,MATCH(F48,CONG_VIEC!$U$6:$U$305,0))&amp;"","")</f>
        <v/>
      </c>
      <c r="I48" s="26" t="str">
        <f aca="false">IFERROR(INDEX(CONG_VIEC!$J$6:$J$305,MATCH(F48,CONG_VIEC!$U$6:$U$305,0)),"")</f>
        <v/>
      </c>
      <c r="J48" s="2"/>
      <c r="K48" s="24" t="n">
        <v>43</v>
      </c>
      <c r="L48" s="25" t="str">
        <f aca="false">IFERROR(INDEX(CONG_VIEC!$C$6:$C$305,MATCH(K48,CONG_VIEC!$V$6:$V$305,0))&amp;"","")</f>
        <v/>
      </c>
      <c r="M48" s="20" t="str">
        <f aca="false">IFERROR(INDEX(CONG_VIEC!$F$6:$F$305,MATCH(K48,CONG_VIEC!$V$6:$V$305,0))&amp;"","")</f>
        <v/>
      </c>
      <c r="N48" s="26" t="str">
        <f aca="false">IFERROR(INDEX(CONG_VIEC!$J$6:$J$305,MATCH(K48,CONG_VIEC!$V$6:$V$305,0)),"")</f>
        <v/>
      </c>
      <c r="O48" s="2"/>
      <c r="P48" s="24" t="n">
        <v>43</v>
      </c>
      <c r="Q48" s="25" t="str">
        <f aca="false">IFERROR(INDEX(CONG_VIEC!$C$6:$C$305,MATCH(P48,CONG_VIEC!$W$6:$W$305,0))&amp;"","")</f>
        <v/>
      </c>
      <c r="R48" s="20" t="str">
        <f aca="false">IFERROR(INDEX(CONG_VIEC!$F$6:$F$305,MATCH(P48,CONG_VIEC!$W$6:$W$305,0))&amp;"","")</f>
        <v/>
      </c>
      <c r="S48" s="26" t="str">
        <f aca="false">IFERROR(INDEX(CONG_VIEC!$J$6:$J$305,MATCH(P48,CONG_VIEC!$W$6:$W$305,0)),"")</f>
        <v/>
      </c>
    </row>
    <row r="49" customFormat="false" ht="15" hidden="false" customHeight="false" outlineLevel="0" collapsed="false">
      <c r="A49" s="24" t="n">
        <v>44</v>
      </c>
      <c r="B49" s="25" t="str">
        <f aca="false">IFERROR(INDEX(CONG_VIEC!$C$6:$C$305,MATCH(A49,CONG_VIEC!$T$6:$T$305,0))&amp;"","")</f>
        <v/>
      </c>
      <c r="C49" s="20" t="str">
        <f aca="false">IFERROR(INDEX(CONG_VIEC!$F$6:$F$305,MATCH(A49,CONG_VIEC!$T$6:$T$305,0))&amp;"","")</f>
        <v/>
      </c>
      <c r="D49" s="26" t="str">
        <f aca="false">IFERROR(INDEX(CONG_VIEC!$J$6:$J$305,MATCH(A49,CONG_VIEC!$T$6:$T$305,0)),"")</f>
        <v/>
      </c>
      <c r="E49" s="2"/>
      <c r="F49" s="24" t="n">
        <v>44</v>
      </c>
      <c r="G49" s="25" t="str">
        <f aca="false">IFERROR(INDEX(CONG_VIEC!$C$6:$C$305,MATCH(F49,CONG_VIEC!$U$6:$U$305,0))&amp;"","")</f>
        <v/>
      </c>
      <c r="H49" s="20" t="str">
        <f aca="false">IFERROR(INDEX(CONG_VIEC!$F$6:$F$305,MATCH(F49,CONG_VIEC!$U$6:$U$305,0))&amp;"","")</f>
        <v/>
      </c>
      <c r="I49" s="26" t="str">
        <f aca="false">IFERROR(INDEX(CONG_VIEC!$J$6:$J$305,MATCH(F49,CONG_VIEC!$U$6:$U$305,0)),"")</f>
        <v/>
      </c>
      <c r="J49" s="2"/>
      <c r="K49" s="24" t="n">
        <v>44</v>
      </c>
      <c r="L49" s="25" t="str">
        <f aca="false">IFERROR(INDEX(CONG_VIEC!$C$6:$C$305,MATCH(K49,CONG_VIEC!$V$6:$V$305,0))&amp;"","")</f>
        <v/>
      </c>
      <c r="M49" s="20" t="str">
        <f aca="false">IFERROR(INDEX(CONG_VIEC!$F$6:$F$305,MATCH(K49,CONG_VIEC!$V$6:$V$305,0))&amp;"","")</f>
        <v/>
      </c>
      <c r="N49" s="26" t="str">
        <f aca="false">IFERROR(INDEX(CONG_VIEC!$J$6:$J$305,MATCH(K49,CONG_VIEC!$V$6:$V$305,0)),"")</f>
        <v/>
      </c>
      <c r="O49" s="2"/>
      <c r="P49" s="24" t="n">
        <v>44</v>
      </c>
      <c r="Q49" s="25" t="str">
        <f aca="false">IFERROR(INDEX(CONG_VIEC!$C$6:$C$305,MATCH(P49,CONG_VIEC!$W$6:$W$305,0))&amp;"","")</f>
        <v/>
      </c>
      <c r="R49" s="20" t="str">
        <f aca="false">IFERROR(INDEX(CONG_VIEC!$F$6:$F$305,MATCH(P49,CONG_VIEC!$W$6:$W$305,0))&amp;"","")</f>
        <v/>
      </c>
      <c r="S49" s="26" t="str">
        <f aca="false">IFERROR(INDEX(CONG_VIEC!$J$6:$J$305,MATCH(P49,CONG_VIEC!$W$6:$W$305,0)),"")</f>
        <v/>
      </c>
    </row>
    <row r="50" customFormat="false" ht="15" hidden="false" customHeight="false" outlineLevel="0" collapsed="false">
      <c r="A50" s="24" t="n">
        <v>45</v>
      </c>
      <c r="B50" s="25" t="str">
        <f aca="false">IFERROR(INDEX(CONG_VIEC!$C$6:$C$305,MATCH(A50,CONG_VIEC!$T$6:$T$305,0))&amp;"","")</f>
        <v/>
      </c>
      <c r="C50" s="20" t="str">
        <f aca="false">IFERROR(INDEX(CONG_VIEC!$F$6:$F$305,MATCH(A50,CONG_VIEC!$T$6:$T$305,0))&amp;"","")</f>
        <v/>
      </c>
      <c r="D50" s="26" t="str">
        <f aca="false">IFERROR(INDEX(CONG_VIEC!$J$6:$J$305,MATCH(A50,CONG_VIEC!$T$6:$T$305,0)),"")</f>
        <v/>
      </c>
      <c r="E50" s="2"/>
      <c r="F50" s="24" t="n">
        <v>45</v>
      </c>
      <c r="G50" s="25" t="str">
        <f aca="false">IFERROR(INDEX(CONG_VIEC!$C$6:$C$305,MATCH(F50,CONG_VIEC!$U$6:$U$305,0))&amp;"","")</f>
        <v/>
      </c>
      <c r="H50" s="20" t="str">
        <f aca="false">IFERROR(INDEX(CONG_VIEC!$F$6:$F$305,MATCH(F50,CONG_VIEC!$U$6:$U$305,0))&amp;"","")</f>
        <v/>
      </c>
      <c r="I50" s="26" t="str">
        <f aca="false">IFERROR(INDEX(CONG_VIEC!$J$6:$J$305,MATCH(F50,CONG_VIEC!$U$6:$U$305,0)),"")</f>
        <v/>
      </c>
      <c r="J50" s="2"/>
      <c r="K50" s="24" t="n">
        <v>45</v>
      </c>
      <c r="L50" s="25" t="str">
        <f aca="false">IFERROR(INDEX(CONG_VIEC!$C$6:$C$305,MATCH(K50,CONG_VIEC!$V$6:$V$305,0))&amp;"","")</f>
        <v/>
      </c>
      <c r="M50" s="20" t="str">
        <f aca="false">IFERROR(INDEX(CONG_VIEC!$F$6:$F$305,MATCH(K50,CONG_VIEC!$V$6:$V$305,0))&amp;"","")</f>
        <v/>
      </c>
      <c r="N50" s="26" t="str">
        <f aca="false">IFERROR(INDEX(CONG_VIEC!$J$6:$J$305,MATCH(K50,CONG_VIEC!$V$6:$V$305,0)),"")</f>
        <v/>
      </c>
      <c r="O50" s="2"/>
      <c r="P50" s="24" t="n">
        <v>45</v>
      </c>
      <c r="Q50" s="25" t="str">
        <f aca="false">IFERROR(INDEX(CONG_VIEC!$C$6:$C$305,MATCH(P50,CONG_VIEC!$W$6:$W$305,0))&amp;"","")</f>
        <v/>
      </c>
      <c r="R50" s="20" t="str">
        <f aca="false">IFERROR(INDEX(CONG_VIEC!$F$6:$F$305,MATCH(P50,CONG_VIEC!$W$6:$W$305,0))&amp;"","")</f>
        <v/>
      </c>
      <c r="S50" s="26" t="str">
        <f aca="false">IFERROR(INDEX(CONG_VIEC!$J$6:$J$305,MATCH(P50,CONG_VIEC!$W$6:$W$305,0)),"")</f>
        <v/>
      </c>
    </row>
    <row r="51" customFormat="false" ht="15" hidden="false" customHeight="false" outlineLevel="0" collapsed="false">
      <c r="A51" s="24" t="n">
        <v>46</v>
      </c>
      <c r="B51" s="25" t="str">
        <f aca="false">IFERROR(INDEX(CONG_VIEC!$C$6:$C$305,MATCH(A51,CONG_VIEC!$T$6:$T$305,0))&amp;"","")</f>
        <v/>
      </c>
      <c r="C51" s="20" t="str">
        <f aca="false">IFERROR(INDEX(CONG_VIEC!$F$6:$F$305,MATCH(A51,CONG_VIEC!$T$6:$T$305,0))&amp;"","")</f>
        <v/>
      </c>
      <c r="D51" s="26" t="str">
        <f aca="false">IFERROR(INDEX(CONG_VIEC!$J$6:$J$305,MATCH(A51,CONG_VIEC!$T$6:$T$305,0)),"")</f>
        <v/>
      </c>
      <c r="E51" s="2"/>
      <c r="F51" s="24" t="n">
        <v>46</v>
      </c>
      <c r="G51" s="25" t="str">
        <f aca="false">IFERROR(INDEX(CONG_VIEC!$C$6:$C$305,MATCH(F51,CONG_VIEC!$U$6:$U$305,0))&amp;"","")</f>
        <v/>
      </c>
      <c r="H51" s="20" t="str">
        <f aca="false">IFERROR(INDEX(CONG_VIEC!$F$6:$F$305,MATCH(F51,CONG_VIEC!$U$6:$U$305,0))&amp;"","")</f>
        <v/>
      </c>
      <c r="I51" s="26" t="str">
        <f aca="false">IFERROR(INDEX(CONG_VIEC!$J$6:$J$305,MATCH(F51,CONG_VIEC!$U$6:$U$305,0)),"")</f>
        <v/>
      </c>
      <c r="J51" s="2"/>
      <c r="K51" s="24" t="n">
        <v>46</v>
      </c>
      <c r="L51" s="25" t="str">
        <f aca="false">IFERROR(INDEX(CONG_VIEC!$C$6:$C$305,MATCH(K51,CONG_VIEC!$V$6:$V$305,0))&amp;"","")</f>
        <v/>
      </c>
      <c r="M51" s="20" t="str">
        <f aca="false">IFERROR(INDEX(CONG_VIEC!$F$6:$F$305,MATCH(K51,CONG_VIEC!$V$6:$V$305,0))&amp;"","")</f>
        <v/>
      </c>
      <c r="N51" s="26" t="str">
        <f aca="false">IFERROR(INDEX(CONG_VIEC!$J$6:$J$305,MATCH(K51,CONG_VIEC!$V$6:$V$305,0)),"")</f>
        <v/>
      </c>
      <c r="O51" s="2"/>
      <c r="P51" s="24" t="n">
        <v>46</v>
      </c>
      <c r="Q51" s="25" t="str">
        <f aca="false">IFERROR(INDEX(CONG_VIEC!$C$6:$C$305,MATCH(P51,CONG_VIEC!$W$6:$W$305,0))&amp;"","")</f>
        <v/>
      </c>
      <c r="R51" s="20" t="str">
        <f aca="false">IFERROR(INDEX(CONG_VIEC!$F$6:$F$305,MATCH(P51,CONG_VIEC!$W$6:$W$305,0))&amp;"","")</f>
        <v/>
      </c>
      <c r="S51" s="26" t="str">
        <f aca="false">IFERROR(INDEX(CONG_VIEC!$J$6:$J$305,MATCH(P51,CONG_VIEC!$W$6:$W$305,0)),"")</f>
        <v/>
      </c>
    </row>
    <row r="52" customFormat="false" ht="15" hidden="false" customHeight="false" outlineLevel="0" collapsed="false">
      <c r="A52" s="24" t="n">
        <v>47</v>
      </c>
      <c r="B52" s="25" t="str">
        <f aca="false">IFERROR(INDEX(CONG_VIEC!$C$6:$C$305,MATCH(A52,CONG_VIEC!$T$6:$T$305,0))&amp;"","")</f>
        <v/>
      </c>
      <c r="C52" s="20" t="str">
        <f aca="false">IFERROR(INDEX(CONG_VIEC!$F$6:$F$305,MATCH(A52,CONG_VIEC!$T$6:$T$305,0))&amp;"","")</f>
        <v/>
      </c>
      <c r="D52" s="26" t="str">
        <f aca="false">IFERROR(INDEX(CONG_VIEC!$J$6:$J$305,MATCH(A52,CONG_VIEC!$T$6:$T$305,0)),"")</f>
        <v/>
      </c>
      <c r="E52" s="2"/>
      <c r="F52" s="24" t="n">
        <v>47</v>
      </c>
      <c r="G52" s="25" t="str">
        <f aca="false">IFERROR(INDEX(CONG_VIEC!$C$6:$C$305,MATCH(F52,CONG_VIEC!$U$6:$U$305,0))&amp;"","")</f>
        <v/>
      </c>
      <c r="H52" s="20" t="str">
        <f aca="false">IFERROR(INDEX(CONG_VIEC!$F$6:$F$305,MATCH(F52,CONG_VIEC!$U$6:$U$305,0))&amp;"","")</f>
        <v/>
      </c>
      <c r="I52" s="26" t="str">
        <f aca="false">IFERROR(INDEX(CONG_VIEC!$J$6:$J$305,MATCH(F52,CONG_VIEC!$U$6:$U$305,0)),"")</f>
        <v/>
      </c>
      <c r="J52" s="2"/>
      <c r="K52" s="24" t="n">
        <v>47</v>
      </c>
      <c r="L52" s="25" t="str">
        <f aca="false">IFERROR(INDEX(CONG_VIEC!$C$6:$C$305,MATCH(K52,CONG_VIEC!$V$6:$V$305,0))&amp;"","")</f>
        <v/>
      </c>
      <c r="M52" s="20" t="str">
        <f aca="false">IFERROR(INDEX(CONG_VIEC!$F$6:$F$305,MATCH(K52,CONG_VIEC!$V$6:$V$305,0))&amp;"","")</f>
        <v/>
      </c>
      <c r="N52" s="26" t="str">
        <f aca="false">IFERROR(INDEX(CONG_VIEC!$J$6:$J$305,MATCH(K52,CONG_VIEC!$V$6:$V$305,0)),"")</f>
        <v/>
      </c>
      <c r="O52" s="2"/>
      <c r="P52" s="24" t="n">
        <v>47</v>
      </c>
      <c r="Q52" s="25" t="str">
        <f aca="false">IFERROR(INDEX(CONG_VIEC!$C$6:$C$305,MATCH(P52,CONG_VIEC!$W$6:$W$305,0))&amp;"","")</f>
        <v/>
      </c>
      <c r="R52" s="20" t="str">
        <f aca="false">IFERROR(INDEX(CONG_VIEC!$F$6:$F$305,MATCH(P52,CONG_VIEC!$W$6:$W$305,0))&amp;"","")</f>
        <v/>
      </c>
      <c r="S52" s="26" t="str">
        <f aca="false">IFERROR(INDEX(CONG_VIEC!$J$6:$J$305,MATCH(P52,CONG_VIEC!$W$6:$W$305,0)),"")</f>
        <v/>
      </c>
    </row>
    <row r="53" customFormat="false" ht="15" hidden="false" customHeight="false" outlineLevel="0" collapsed="false">
      <c r="A53" s="24" t="n">
        <v>48</v>
      </c>
      <c r="B53" s="25" t="str">
        <f aca="false">IFERROR(INDEX(CONG_VIEC!$C$6:$C$305,MATCH(A53,CONG_VIEC!$T$6:$T$305,0))&amp;"","")</f>
        <v/>
      </c>
      <c r="C53" s="20" t="str">
        <f aca="false">IFERROR(INDEX(CONG_VIEC!$F$6:$F$305,MATCH(A53,CONG_VIEC!$T$6:$T$305,0))&amp;"","")</f>
        <v/>
      </c>
      <c r="D53" s="26" t="str">
        <f aca="false">IFERROR(INDEX(CONG_VIEC!$J$6:$J$305,MATCH(A53,CONG_VIEC!$T$6:$T$305,0)),"")</f>
        <v/>
      </c>
      <c r="E53" s="2"/>
      <c r="F53" s="24" t="n">
        <v>48</v>
      </c>
      <c r="G53" s="25" t="str">
        <f aca="false">IFERROR(INDEX(CONG_VIEC!$C$6:$C$305,MATCH(F53,CONG_VIEC!$U$6:$U$305,0))&amp;"","")</f>
        <v/>
      </c>
      <c r="H53" s="20" t="str">
        <f aca="false">IFERROR(INDEX(CONG_VIEC!$F$6:$F$305,MATCH(F53,CONG_VIEC!$U$6:$U$305,0))&amp;"","")</f>
        <v/>
      </c>
      <c r="I53" s="26" t="str">
        <f aca="false">IFERROR(INDEX(CONG_VIEC!$J$6:$J$305,MATCH(F53,CONG_VIEC!$U$6:$U$305,0)),"")</f>
        <v/>
      </c>
      <c r="J53" s="2"/>
      <c r="K53" s="24" t="n">
        <v>48</v>
      </c>
      <c r="L53" s="25" t="str">
        <f aca="false">IFERROR(INDEX(CONG_VIEC!$C$6:$C$305,MATCH(K53,CONG_VIEC!$V$6:$V$305,0))&amp;"","")</f>
        <v/>
      </c>
      <c r="M53" s="20" t="str">
        <f aca="false">IFERROR(INDEX(CONG_VIEC!$F$6:$F$305,MATCH(K53,CONG_VIEC!$V$6:$V$305,0))&amp;"","")</f>
        <v/>
      </c>
      <c r="N53" s="26" t="str">
        <f aca="false">IFERROR(INDEX(CONG_VIEC!$J$6:$J$305,MATCH(K53,CONG_VIEC!$V$6:$V$305,0)),"")</f>
        <v/>
      </c>
      <c r="O53" s="2"/>
      <c r="P53" s="24" t="n">
        <v>48</v>
      </c>
      <c r="Q53" s="25" t="str">
        <f aca="false">IFERROR(INDEX(CONG_VIEC!$C$6:$C$305,MATCH(P53,CONG_VIEC!$W$6:$W$305,0))&amp;"","")</f>
        <v/>
      </c>
      <c r="R53" s="20" t="str">
        <f aca="false">IFERROR(INDEX(CONG_VIEC!$F$6:$F$305,MATCH(P53,CONG_VIEC!$W$6:$W$305,0))&amp;"","")</f>
        <v/>
      </c>
      <c r="S53" s="26" t="str">
        <f aca="false">IFERROR(INDEX(CONG_VIEC!$J$6:$J$305,MATCH(P53,CONG_VIEC!$W$6:$W$305,0)),"")</f>
        <v/>
      </c>
    </row>
    <row r="54" customFormat="false" ht="15" hidden="false" customHeight="false" outlineLevel="0" collapsed="false">
      <c r="A54" s="24" t="n">
        <v>49</v>
      </c>
      <c r="B54" s="25" t="str">
        <f aca="false">IFERROR(INDEX(CONG_VIEC!$C$6:$C$305,MATCH(A54,CONG_VIEC!$T$6:$T$305,0))&amp;"","")</f>
        <v/>
      </c>
      <c r="C54" s="20" t="str">
        <f aca="false">IFERROR(INDEX(CONG_VIEC!$F$6:$F$305,MATCH(A54,CONG_VIEC!$T$6:$T$305,0))&amp;"","")</f>
        <v/>
      </c>
      <c r="D54" s="26" t="str">
        <f aca="false">IFERROR(INDEX(CONG_VIEC!$J$6:$J$305,MATCH(A54,CONG_VIEC!$T$6:$T$305,0)),"")</f>
        <v/>
      </c>
      <c r="E54" s="2"/>
      <c r="F54" s="24" t="n">
        <v>49</v>
      </c>
      <c r="G54" s="25" t="str">
        <f aca="false">IFERROR(INDEX(CONG_VIEC!$C$6:$C$305,MATCH(F54,CONG_VIEC!$U$6:$U$305,0))&amp;"","")</f>
        <v/>
      </c>
      <c r="H54" s="20" t="str">
        <f aca="false">IFERROR(INDEX(CONG_VIEC!$F$6:$F$305,MATCH(F54,CONG_VIEC!$U$6:$U$305,0))&amp;"","")</f>
        <v/>
      </c>
      <c r="I54" s="26" t="str">
        <f aca="false">IFERROR(INDEX(CONG_VIEC!$J$6:$J$305,MATCH(F54,CONG_VIEC!$U$6:$U$305,0)),"")</f>
        <v/>
      </c>
      <c r="J54" s="2"/>
      <c r="K54" s="24" t="n">
        <v>49</v>
      </c>
      <c r="L54" s="25" t="str">
        <f aca="false">IFERROR(INDEX(CONG_VIEC!$C$6:$C$305,MATCH(K54,CONG_VIEC!$V$6:$V$305,0))&amp;"","")</f>
        <v/>
      </c>
      <c r="M54" s="20" t="str">
        <f aca="false">IFERROR(INDEX(CONG_VIEC!$F$6:$F$305,MATCH(K54,CONG_VIEC!$V$6:$V$305,0))&amp;"","")</f>
        <v/>
      </c>
      <c r="N54" s="26" t="str">
        <f aca="false">IFERROR(INDEX(CONG_VIEC!$J$6:$J$305,MATCH(K54,CONG_VIEC!$V$6:$V$305,0)),"")</f>
        <v/>
      </c>
      <c r="O54" s="2"/>
      <c r="P54" s="24" t="n">
        <v>49</v>
      </c>
      <c r="Q54" s="25" t="str">
        <f aca="false">IFERROR(INDEX(CONG_VIEC!$C$6:$C$305,MATCH(P54,CONG_VIEC!$W$6:$W$305,0))&amp;"","")</f>
        <v/>
      </c>
      <c r="R54" s="20" t="str">
        <f aca="false">IFERROR(INDEX(CONG_VIEC!$F$6:$F$305,MATCH(P54,CONG_VIEC!$W$6:$W$305,0))&amp;"","")</f>
        <v/>
      </c>
      <c r="S54" s="26" t="str">
        <f aca="false">IFERROR(INDEX(CONG_VIEC!$J$6:$J$305,MATCH(P54,CONG_VIEC!$W$6:$W$305,0)),"")</f>
        <v/>
      </c>
    </row>
    <row r="55" customFormat="false" ht="15" hidden="false" customHeight="false" outlineLevel="0" collapsed="false">
      <c r="A55" s="24" t="n">
        <v>50</v>
      </c>
      <c r="B55" s="25" t="str">
        <f aca="false">IFERROR(INDEX(CONG_VIEC!$C$6:$C$305,MATCH(A55,CONG_VIEC!$T$6:$T$305,0))&amp;"","")</f>
        <v/>
      </c>
      <c r="C55" s="20" t="str">
        <f aca="false">IFERROR(INDEX(CONG_VIEC!$F$6:$F$305,MATCH(A55,CONG_VIEC!$T$6:$T$305,0))&amp;"","")</f>
        <v/>
      </c>
      <c r="D55" s="26" t="str">
        <f aca="false">IFERROR(INDEX(CONG_VIEC!$J$6:$J$305,MATCH(A55,CONG_VIEC!$T$6:$T$305,0)),"")</f>
        <v/>
      </c>
      <c r="E55" s="2"/>
      <c r="F55" s="24" t="n">
        <v>50</v>
      </c>
      <c r="G55" s="25" t="str">
        <f aca="false">IFERROR(INDEX(CONG_VIEC!$C$6:$C$305,MATCH(F55,CONG_VIEC!$U$6:$U$305,0))&amp;"","")</f>
        <v/>
      </c>
      <c r="H55" s="20" t="str">
        <f aca="false">IFERROR(INDEX(CONG_VIEC!$F$6:$F$305,MATCH(F55,CONG_VIEC!$U$6:$U$305,0))&amp;"","")</f>
        <v/>
      </c>
      <c r="I55" s="26" t="str">
        <f aca="false">IFERROR(INDEX(CONG_VIEC!$J$6:$J$305,MATCH(F55,CONG_VIEC!$U$6:$U$305,0)),"")</f>
        <v/>
      </c>
      <c r="J55" s="2"/>
      <c r="K55" s="24" t="n">
        <v>50</v>
      </c>
      <c r="L55" s="25" t="str">
        <f aca="false">IFERROR(INDEX(CONG_VIEC!$C$6:$C$305,MATCH(K55,CONG_VIEC!$V$6:$V$305,0))&amp;"","")</f>
        <v/>
      </c>
      <c r="M55" s="20" t="str">
        <f aca="false">IFERROR(INDEX(CONG_VIEC!$F$6:$F$305,MATCH(K55,CONG_VIEC!$V$6:$V$305,0))&amp;"","")</f>
        <v/>
      </c>
      <c r="N55" s="26" t="str">
        <f aca="false">IFERROR(INDEX(CONG_VIEC!$J$6:$J$305,MATCH(K55,CONG_VIEC!$V$6:$V$305,0)),"")</f>
        <v/>
      </c>
      <c r="O55" s="2"/>
      <c r="P55" s="24" t="n">
        <v>50</v>
      </c>
      <c r="Q55" s="25" t="str">
        <f aca="false">IFERROR(INDEX(CONG_VIEC!$C$6:$C$305,MATCH(P55,CONG_VIEC!$W$6:$W$305,0))&amp;"","")</f>
        <v/>
      </c>
      <c r="R55" s="20" t="str">
        <f aca="false">IFERROR(INDEX(CONG_VIEC!$F$6:$F$305,MATCH(P55,CONG_VIEC!$W$6:$W$305,0))&amp;"","")</f>
        <v/>
      </c>
      <c r="S55" s="26" t="str">
        <f aca="false">IFERROR(INDEX(CONG_VIEC!$J$6:$J$305,MATCH(P55,CONG_VIEC!$W$6:$W$305,0)),"")</f>
        <v/>
      </c>
    </row>
    <row r="56" customFormat="false" ht="15" hidden="false" customHeight="false" outlineLevel="0" collapsed="false">
      <c r="A56" s="24" t="n">
        <v>51</v>
      </c>
      <c r="B56" s="25" t="str">
        <f aca="false">IFERROR(INDEX(CONG_VIEC!$C$6:$C$305,MATCH(A56,CONG_VIEC!$T$6:$T$305,0))&amp;"","")</f>
        <v/>
      </c>
      <c r="C56" s="20" t="str">
        <f aca="false">IFERROR(INDEX(CONG_VIEC!$F$6:$F$305,MATCH(A56,CONG_VIEC!$T$6:$T$305,0))&amp;"","")</f>
        <v/>
      </c>
      <c r="D56" s="26" t="str">
        <f aca="false">IFERROR(INDEX(CONG_VIEC!$J$6:$J$305,MATCH(A56,CONG_VIEC!$T$6:$T$305,0)),"")</f>
        <v/>
      </c>
      <c r="E56" s="2"/>
      <c r="F56" s="24" t="n">
        <v>51</v>
      </c>
      <c r="G56" s="25" t="str">
        <f aca="false">IFERROR(INDEX(CONG_VIEC!$C$6:$C$305,MATCH(F56,CONG_VIEC!$U$6:$U$305,0))&amp;"","")</f>
        <v/>
      </c>
      <c r="H56" s="20" t="str">
        <f aca="false">IFERROR(INDEX(CONG_VIEC!$F$6:$F$305,MATCH(F56,CONG_VIEC!$U$6:$U$305,0))&amp;"","")</f>
        <v/>
      </c>
      <c r="I56" s="26" t="str">
        <f aca="false">IFERROR(INDEX(CONG_VIEC!$J$6:$J$305,MATCH(F56,CONG_VIEC!$U$6:$U$305,0)),"")</f>
        <v/>
      </c>
      <c r="J56" s="2"/>
      <c r="K56" s="24" t="n">
        <v>51</v>
      </c>
      <c r="L56" s="25" t="str">
        <f aca="false">IFERROR(INDEX(CONG_VIEC!$C$6:$C$305,MATCH(K56,CONG_VIEC!$V$6:$V$305,0))&amp;"","")</f>
        <v/>
      </c>
      <c r="M56" s="20" t="str">
        <f aca="false">IFERROR(INDEX(CONG_VIEC!$F$6:$F$305,MATCH(K56,CONG_VIEC!$V$6:$V$305,0))&amp;"","")</f>
        <v/>
      </c>
      <c r="N56" s="26" t="str">
        <f aca="false">IFERROR(INDEX(CONG_VIEC!$J$6:$J$305,MATCH(K56,CONG_VIEC!$V$6:$V$305,0)),"")</f>
        <v/>
      </c>
      <c r="O56" s="2"/>
      <c r="P56" s="24" t="n">
        <v>51</v>
      </c>
      <c r="Q56" s="25" t="str">
        <f aca="false">IFERROR(INDEX(CONG_VIEC!$C$6:$C$305,MATCH(P56,CONG_VIEC!$W$6:$W$305,0))&amp;"","")</f>
        <v/>
      </c>
      <c r="R56" s="20" t="str">
        <f aca="false">IFERROR(INDEX(CONG_VIEC!$F$6:$F$305,MATCH(P56,CONG_VIEC!$W$6:$W$305,0))&amp;"","")</f>
        <v/>
      </c>
      <c r="S56" s="26" t="str">
        <f aca="false">IFERROR(INDEX(CONG_VIEC!$J$6:$J$305,MATCH(P56,CONG_VIEC!$W$6:$W$305,0)),"")</f>
        <v/>
      </c>
    </row>
    <row r="57" customFormat="false" ht="15" hidden="false" customHeight="false" outlineLevel="0" collapsed="false">
      <c r="A57" s="24" t="n">
        <v>52</v>
      </c>
      <c r="B57" s="25" t="str">
        <f aca="false">IFERROR(INDEX(CONG_VIEC!$C$6:$C$305,MATCH(A57,CONG_VIEC!$T$6:$T$305,0))&amp;"","")</f>
        <v/>
      </c>
      <c r="C57" s="20" t="str">
        <f aca="false">IFERROR(INDEX(CONG_VIEC!$F$6:$F$305,MATCH(A57,CONG_VIEC!$T$6:$T$305,0))&amp;"","")</f>
        <v/>
      </c>
      <c r="D57" s="26" t="str">
        <f aca="false">IFERROR(INDEX(CONG_VIEC!$J$6:$J$305,MATCH(A57,CONG_VIEC!$T$6:$T$305,0)),"")</f>
        <v/>
      </c>
      <c r="E57" s="2"/>
      <c r="F57" s="24" t="n">
        <v>52</v>
      </c>
      <c r="G57" s="25" t="str">
        <f aca="false">IFERROR(INDEX(CONG_VIEC!$C$6:$C$305,MATCH(F57,CONG_VIEC!$U$6:$U$305,0))&amp;"","")</f>
        <v/>
      </c>
      <c r="H57" s="20" t="str">
        <f aca="false">IFERROR(INDEX(CONG_VIEC!$F$6:$F$305,MATCH(F57,CONG_VIEC!$U$6:$U$305,0))&amp;"","")</f>
        <v/>
      </c>
      <c r="I57" s="26" t="str">
        <f aca="false">IFERROR(INDEX(CONG_VIEC!$J$6:$J$305,MATCH(F57,CONG_VIEC!$U$6:$U$305,0)),"")</f>
        <v/>
      </c>
      <c r="J57" s="2"/>
      <c r="K57" s="24" t="n">
        <v>52</v>
      </c>
      <c r="L57" s="25" t="str">
        <f aca="false">IFERROR(INDEX(CONG_VIEC!$C$6:$C$305,MATCH(K57,CONG_VIEC!$V$6:$V$305,0))&amp;"","")</f>
        <v/>
      </c>
      <c r="M57" s="20" t="str">
        <f aca="false">IFERROR(INDEX(CONG_VIEC!$F$6:$F$305,MATCH(K57,CONG_VIEC!$V$6:$V$305,0))&amp;"","")</f>
        <v/>
      </c>
      <c r="N57" s="26" t="str">
        <f aca="false">IFERROR(INDEX(CONG_VIEC!$J$6:$J$305,MATCH(K57,CONG_VIEC!$V$6:$V$305,0)),"")</f>
        <v/>
      </c>
      <c r="O57" s="2"/>
      <c r="P57" s="24" t="n">
        <v>52</v>
      </c>
      <c r="Q57" s="25" t="str">
        <f aca="false">IFERROR(INDEX(CONG_VIEC!$C$6:$C$305,MATCH(P57,CONG_VIEC!$W$6:$W$305,0))&amp;"","")</f>
        <v/>
      </c>
      <c r="R57" s="20" t="str">
        <f aca="false">IFERROR(INDEX(CONG_VIEC!$F$6:$F$305,MATCH(P57,CONG_VIEC!$W$6:$W$305,0))&amp;"","")</f>
        <v/>
      </c>
      <c r="S57" s="26" t="str">
        <f aca="false">IFERROR(INDEX(CONG_VIEC!$J$6:$J$305,MATCH(P57,CONG_VIEC!$W$6:$W$305,0)),"")</f>
        <v/>
      </c>
    </row>
    <row r="58" customFormat="false" ht="15" hidden="false" customHeight="false" outlineLevel="0" collapsed="false">
      <c r="A58" s="24" t="n">
        <v>53</v>
      </c>
      <c r="B58" s="25" t="str">
        <f aca="false">IFERROR(INDEX(CONG_VIEC!$C$6:$C$305,MATCH(A58,CONG_VIEC!$T$6:$T$305,0))&amp;"","")</f>
        <v/>
      </c>
      <c r="C58" s="20" t="str">
        <f aca="false">IFERROR(INDEX(CONG_VIEC!$F$6:$F$305,MATCH(A58,CONG_VIEC!$T$6:$T$305,0))&amp;"","")</f>
        <v/>
      </c>
      <c r="D58" s="26" t="str">
        <f aca="false">IFERROR(INDEX(CONG_VIEC!$J$6:$J$305,MATCH(A58,CONG_VIEC!$T$6:$T$305,0)),"")</f>
        <v/>
      </c>
      <c r="E58" s="2"/>
      <c r="F58" s="24" t="n">
        <v>53</v>
      </c>
      <c r="G58" s="25" t="str">
        <f aca="false">IFERROR(INDEX(CONG_VIEC!$C$6:$C$305,MATCH(F58,CONG_VIEC!$U$6:$U$305,0))&amp;"","")</f>
        <v/>
      </c>
      <c r="H58" s="20" t="str">
        <f aca="false">IFERROR(INDEX(CONG_VIEC!$F$6:$F$305,MATCH(F58,CONG_VIEC!$U$6:$U$305,0))&amp;"","")</f>
        <v/>
      </c>
      <c r="I58" s="26" t="str">
        <f aca="false">IFERROR(INDEX(CONG_VIEC!$J$6:$J$305,MATCH(F58,CONG_VIEC!$U$6:$U$305,0)),"")</f>
        <v/>
      </c>
      <c r="J58" s="2"/>
      <c r="K58" s="24" t="n">
        <v>53</v>
      </c>
      <c r="L58" s="25" t="str">
        <f aca="false">IFERROR(INDEX(CONG_VIEC!$C$6:$C$305,MATCH(K58,CONG_VIEC!$V$6:$V$305,0))&amp;"","")</f>
        <v/>
      </c>
      <c r="M58" s="20" t="str">
        <f aca="false">IFERROR(INDEX(CONG_VIEC!$F$6:$F$305,MATCH(K58,CONG_VIEC!$V$6:$V$305,0))&amp;"","")</f>
        <v/>
      </c>
      <c r="N58" s="26" t="str">
        <f aca="false">IFERROR(INDEX(CONG_VIEC!$J$6:$J$305,MATCH(K58,CONG_VIEC!$V$6:$V$305,0)),"")</f>
        <v/>
      </c>
      <c r="O58" s="2"/>
      <c r="P58" s="24" t="n">
        <v>53</v>
      </c>
      <c r="Q58" s="25" t="str">
        <f aca="false">IFERROR(INDEX(CONG_VIEC!$C$6:$C$305,MATCH(P58,CONG_VIEC!$W$6:$W$305,0))&amp;"","")</f>
        <v/>
      </c>
      <c r="R58" s="20" t="str">
        <f aca="false">IFERROR(INDEX(CONG_VIEC!$F$6:$F$305,MATCH(P58,CONG_VIEC!$W$6:$W$305,0))&amp;"","")</f>
        <v/>
      </c>
      <c r="S58" s="26" t="str">
        <f aca="false">IFERROR(INDEX(CONG_VIEC!$J$6:$J$305,MATCH(P58,CONG_VIEC!$W$6:$W$305,0)),"")</f>
        <v/>
      </c>
    </row>
    <row r="59" customFormat="false" ht="15" hidden="false" customHeight="false" outlineLevel="0" collapsed="false">
      <c r="A59" s="24" t="n">
        <v>54</v>
      </c>
      <c r="B59" s="25" t="str">
        <f aca="false">IFERROR(INDEX(CONG_VIEC!$C$6:$C$305,MATCH(A59,CONG_VIEC!$T$6:$T$305,0))&amp;"","")</f>
        <v/>
      </c>
      <c r="C59" s="20" t="str">
        <f aca="false">IFERROR(INDEX(CONG_VIEC!$F$6:$F$305,MATCH(A59,CONG_VIEC!$T$6:$T$305,0))&amp;"","")</f>
        <v/>
      </c>
      <c r="D59" s="26" t="str">
        <f aca="false">IFERROR(INDEX(CONG_VIEC!$J$6:$J$305,MATCH(A59,CONG_VIEC!$T$6:$T$305,0)),"")</f>
        <v/>
      </c>
      <c r="E59" s="2"/>
      <c r="F59" s="24" t="n">
        <v>54</v>
      </c>
      <c r="G59" s="25" t="str">
        <f aca="false">IFERROR(INDEX(CONG_VIEC!$C$6:$C$305,MATCH(F59,CONG_VIEC!$U$6:$U$305,0))&amp;"","")</f>
        <v/>
      </c>
      <c r="H59" s="20" t="str">
        <f aca="false">IFERROR(INDEX(CONG_VIEC!$F$6:$F$305,MATCH(F59,CONG_VIEC!$U$6:$U$305,0))&amp;"","")</f>
        <v/>
      </c>
      <c r="I59" s="26" t="str">
        <f aca="false">IFERROR(INDEX(CONG_VIEC!$J$6:$J$305,MATCH(F59,CONG_VIEC!$U$6:$U$305,0)),"")</f>
        <v/>
      </c>
      <c r="J59" s="2"/>
      <c r="K59" s="24" t="n">
        <v>54</v>
      </c>
      <c r="L59" s="25" t="str">
        <f aca="false">IFERROR(INDEX(CONG_VIEC!$C$6:$C$305,MATCH(K59,CONG_VIEC!$V$6:$V$305,0))&amp;"","")</f>
        <v/>
      </c>
      <c r="M59" s="20" t="str">
        <f aca="false">IFERROR(INDEX(CONG_VIEC!$F$6:$F$305,MATCH(K59,CONG_VIEC!$V$6:$V$305,0))&amp;"","")</f>
        <v/>
      </c>
      <c r="N59" s="26" t="str">
        <f aca="false">IFERROR(INDEX(CONG_VIEC!$J$6:$J$305,MATCH(K59,CONG_VIEC!$V$6:$V$305,0)),"")</f>
        <v/>
      </c>
      <c r="O59" s="2"/>
      <c r="P59" s="24" t="n">
        <v>54</v>
      </c>
      <c r="Q59" s="25" t="str">
        <f aca="false">IFERROR(INDEX(CONG_VIEC!$C$6:$C$305,MATCH(P59,CONG_VIEC!$W$6:$W$305,0))&amp;"","")</f>
        <v/>
      </c>
      <c r="R59" s="20" t="str">
        <f aca="false">IFERROR(INDEX(CONG_VIEC!$F$6:$F$305,MATCH(P59,CONG_VIEC!$W$6:$W$305,0))&amp;"","")</f>
        <v/>
      </c>
      <c r="S59" s="26" t="str">
        <f aca="false">IFERROR(INDEX(CONG_VIEC!$J$6:$J$305,MATCH(P59,CONG_VIEC!$W$6:$W$305,0)),"")</f>
        <v/>
      </c>
    </row>
    <row r="60" customFormat="false" ht="15" hidden="false" customHeight="false" outlineLevel="0" collapsed="false">
      <c r="A60" s="24" t="n">
        <v>55</v>
      </c>
      <c r="B60" s="25" t="str">
        <f aca="false">IFERROR(INDEX(CONG_VIEC!$C$6:$C$305,MATCH(A60,CONG_VIEC!$T$6:$T$305,0))&amp;"","")</f>
        <v/>
      </c>
      <c r="C60" s="20" t="str">
        <f aca="false">IFERROR(INDEX(CONG_VIEC!$F$6:$F$305,MATCH(A60,CONG_VIEC!$T$6:$T$305,0))&amp;"","")</f>
        <v/>
      </c>
      <c r="D60" s="26" t="str">
        <f aca="false">IFERROR(INDEX(CONG_VIEC!$J$6:$J$305,MATCH(A60,CONG_VIEC!$T$6:$T$305,0)),"")</f>
        <v/>
      </c>
      <c r="E60" s="2"/>
      <c r="F60" s="24" t="n">
        <v>55</v>
      </c>
      <c r="G60" s="25" t="str">
        <f aca="false">IFERROR(INDEX(CONG_VIEC!$C$6:$C$305,MATCH(F60,CONG_VIEC!$U$6:$U$305,0))&amp;"","")</f>
        <v/>
      </c>
      <c r="H60" s="20" t="str">
        <f aca="false">IFERROR(INDEX(CONG_VIEC!$F$6:$F$305,MATCH(F60,CONG_VIEC!$U$6:$U$305,0))&amp;"","")</f>
        <v/>
      </c>
      <c r="I60" s="26" t="str">
        <f aca="false">IFERROR(INDEX(CONG_VIEC!$J$6:$J$305,MATCH(F60,CONG_VIEC!$U$6:$U$305,0)),"")</f>
        <v/>
      </c>
      <c r="J60" s="2"/>
      <c r="K60" s="24" t="n">
        <v>55</v>
      </c>
      <c r="L60" s="25" t="str">
        <f aca="false">IFERROR(INDEX(CONG_VIEC!$C$6:$C$305,MATCH(K60,CONG_VIEC!$V$6:$V$305,0))&amp;"","")</f>
        <v/>
      </c>
      <c r="M60" s="20" t="str">
        <f aca="false">IFERROR(INDEX(CONG_VIEC!$F$6:$F$305,MATCH(K60,CONG_VIEC!$V$6:$V$305,0))&amp;"","")</f>
        <v/>
      </c>
      <c r="N60" s="26" t="str">
        <f aca="false">IFERROR(INDEX(CONG_VIEC!$J$6:$J$305,MATCH(K60,CONG_VIEC!$V$6:$V$305,0)),"")</f>
        <v/>
      </c>
      <c r="O60" s="2"/>
      <c r="P60" s="24" t="n">
        <v>55</v>
      </c>
      <c r="Q60" s="25" t="str">
        <f aca="false">IFERROR(INDEX(CONG_VIEC!$C$6:$C$305,MATCH(P60,CONG_VIEC!$W$6:$W$305,0))&amp;"","")</f>
        <v/>
      </c>
      <c r="R60" s="20" t="str">
        <f aca="false">IFERROR(INDEX(CONG_VIEC!$F$6:$F$305,MATCH(P60,CONG_VIEC!$W$6:$W$305,0))&amp;"","")</f>
        <v/>
      </c>
      <c r="S60" s="26" t="str">
        <f aca="false">IFERROR(INDEX(CONG_VIEC!$J$6:$J$305,MATCH(P60,CONG_VIEC!$W$6:$W$305,0)),"")</f>
        <v/>
      </c>
    </row>
    <row r="61" customFormat="false" ht="15" hidden="false" customHeight="false" outlineLevel="0" collapsed="false">
      <c r="A61" s="24" t="n">
        <v>56</v>
      </c>
      <c r="B61" s="25" t="str">
        <f aca="false">IFERROR(INDEX(CONG_VIEC!$C$6:$C$305,MATCH(A61,CONG_VIEC!$T$6:$T$305,0))&amp;"","")</f>
        <v/>
      </c>
      <c r="C61" s="20" t="str">
        <f aca="false">IFERROR(INDEX(CONG_VIEC!$F$6:$F$305,MATCH(A61,CONG_VIEC!$T$6:$T$305,0))&amp;"","")</f>
        <v/>
      </c>
      <c r="D61" s="26" t="str">
        <f aca="false">IFERROR(INDEX(CONG_VIEC!$J$6:$J$305,MATCH(A61,CONG_VIEC!$T$6:$T$305,0)),"")</f>
        <v/>
      </c>
      <c r="E61" s="2"/>
      <c r="F61" s="24" t="n">
        <v>56</v>
      </c>
      <c r="G61" s="25" t="str">
        <f aca="false">IFERROR(INDEX(CONG_VIEC!$C$6:$C$305,MATCH(F61,CONG_VIEC!$U$6:$U$305,0))&amp;"","")</f>
        <v/>
      </c>
      <c r="H61" s="20" t="str">
        <f aca="false">IFERROR(INDEX(CONG_VIEC!$F$6:$F$305,MATCH(F61,CONG_VIEC!$U$6:$U$305,0))&amp;"","")</f>
        <v/>
      </c>
      <c r="I61" s="26" t="str">
        <f aca="false">IFERROR(INDEX(CONG_VIEC!$J$6:$J$305,MATCH(F61,CONG_VIEC!$U$6:$U$305,0)),"")</f>
        <v/>
      </c>
      <c r="J61" s="2"/>
      <c r="K61" s="24" t="n">
        <v>56</v>
      </c>
      <c r="L61" s="25" t="str">
        <f aca="false">IFERROR(INDEX(CONG_VIEC!$C$6:$C$305,MATCH(K61,CONG_VIEC!$V$6:$V$305,0))&amp;"","")</f>
        <v/>
      </c>
      <c r="M61" s="20" t="str">
        <f aca="false">IFERROR(INDEX(CONG_VIEC!$F$6:$F$305,MATCH(K61,CONG_VIEC!$V$6:$V$305,0))&amp;"","")</f>
        <v/>
      </c>
      <c r="N61" s="26" t="str">
        <f aca="false">IFERROR(INDEX(CONG_VIEC!$J$6:$J$305,MATCH(K61,CONG_VIEC!$V$6:$V$305,0)),"")</f>
        <v/>
      </c>
      <c r="O61" s="2"/>
      <c r="P61" s="24" t="n">
        <v>56</v>
      </c>
      <c r="Q61" s="25" t="str">
        <f aca="false">IFERROR(INDEX(CONG_VIEC!$C$6:$C$305,MATCH(P61,CONG_VIEC!$W$6:$W$305,0))&amp;"","")</f>
        <v/>
      </c>
      <c r="R61" s="20" t="str">
        <f aca="false">IFERROR(INDEX(CONG_VIEC!$F$6:$F$305,MATCH(P61,CONG_VIEC!$W$6:$W$305,0))&amp;"","")</f>
        <v/>
      </c>
      <c r="S61" s="26" t="str">
        <f aca="false">IFERROR(INDEX(CONG_VIEC!$J$6:$J$305,MATCH(P61,CONG_VIEC!$W$6:$W$305,0)),"")</f>
        <v/>
      </c>
    </row>
    <row r="62" customFormat="false" ht="15" hidden="false" customHeight="false" outlineLevel="0" collapsed="false">
      <c r="A62" s="24" t="n">
        <v>57</v>
      </c>
      <c r="B62" s="25" t="str">
        <f aca="false">IFERROR(INDEX(CONG_VIEC!$C$6:$C$305,MATCH(A62,CONG_VIEC!$T$6:$T$305,0))&amp;"","")</f>
        <v/>
      </c>
      <c r="C62" s="20" t="str">
        <f aca="false">IFERROR(INDEX(CONG_VIEC!$F$6:$F$305,MATCH(A62,CONG_VIEC!$T$6:$T$305,0))&amp;"","")</f>
        <v/>
      </c>
      <c r="D62" s="26" t="str">
        <f aca="false">IFERROR(INDEX(CONG_VIEC!$J$6:$J$305,MATCH(A62,CONG_VIEC!$T$6:$T$305,0)),"")</f>
        <v/>
      </c>
      <c r="E62" s="2"/>
      <c r="F62" s="24" t="n">
        <v>57</v>
      </c>
      <c r="G62" s="25" t="str">
        <f aca="false">IFERROR(INDEX(CONG_VIEC!$C$6:$C$305,MATCH(F62,CONG_VIEC!$U$6:$U$305,0))&amp;"","")</f>
        <v/>
      </c>
      <c r="H62" s="20" t="str">
        <f aca="false">IFERROR(INDEX(CONG_VIEC!$F$6:$F$305,MATCH(F62,CONG_VIEC!$U$6:$U$305,0))&amp;"","")</f>
        <v/>
      </c>
      <c r="I62" s="26" t="str">
        <f aca="false">IFERROR(INDEX(CONG_VIEC!$J$6:$J$305,MATCH(F62,CONG_VIEC!$U$6:$U$305,0)),"")</f>
        <v/>
      </c>
      <c r="J62" s="2"/>
      <c r="K62" s="24" t="n">
        <v>57</v>
      </c>
      <c r="L62" s="25" t="str">
        <f aca="false">IFERROR(INDEX(CONG_VIEC!$C$6:$C$305,MATCH(K62,CONG_VIEC!$V$6:$V$305,0))&amp;"","")</f>
        <v/>
      </c>
      <c r="M62" s="20" t="str">
        <f aca="false">IFERROR(INDEX(CONG_VIEC!$F$6:$F$305,MATCH(K62,CONG_VIEC!$V$6:$V$305,0))&amp;"","")</f>
        <v/>
      </c>
      <c r="N62" s="26" t="str">
        <f aca="false">IFERROR(INDEX(CONG_VIEC!$J$6:$J$305,MATCH(K62,CONG_VIEC!$V$6:$V$305,0)),"")</f>
        <v/>
      </c>
      <c r="O62" s="2"/>
      <c r="P62" s="24" t="n">
        <v>57</v>
      </c>
      <c r="Q62" s="25" t="str">
        <f aca="false">IFERROR(INDEX(CONG_VIEC!$C$6:$C$305,MATCH(P62,CONG_VIEC!$W$6:$W$305,0))&amp;"","")</f>
        <v/>
      </c>
      <c r="R62" s="20" t="str">
        <f aca="false">IFERROR(INDEX(CONG_VIEC!$F$6:$F$305,MATCH(P62,CONG_VIEC!$W$6:$W$305,0))&amp;"","")</f>
        <v/>
      </c>
      <c r="S62" s="26" t="str">
        <f aca="false">IFERROR(INDEX(CONG_VIEC!$J$6:$J$305,MATCH(P62,CONG_VIEC!$W$6:$W$305,0)),"")</f>
        <v/>
      </c>
    </row>
    <row r="63" customFormat="false" ht="15" hidden="false" customHeight="false" outlineLevel="0" collapsed="false">
      <c r="A63" s="24" t="n">
        <v>58</v>
      </c>
      <c r="B63" s="25" t="str">
        <f aca="false">IFERROR(INDEX(CONG_VIEC!$C$6:$C$305,MATCH(A63,CONG_VIEC!$T$6:$T$305,0))&amp;"","")</f>
        <v/>
      </c>
      <c r="C63" s="20" t="str">
        <f aca="false">IFERROR(INDEX(CONG_VIEC!$F$6:$F$305,MATCH(A63,CONG_VIEC!$T$6:$T$305,0))&amp;"","")</f>
        <v/>
      </c>
      <c r="D63" s="26" t="str">
        <f aca="false">IFERROR(INDEX(CONG_VIEC!$J$6:$J$305,MATCH(A63,CONG_VIEC!$T$6:$T$305,0)),"")</f>
        <v/>
      </c>
      <c r="E63" s="2"/>
      <c r="F63" s="24" t="n">
        <v>58</v>
      </c>
      <c r="G63" s="25" t="str">
        <f aca="false">IFERROR(INDEX(CONG_VIEC!$C$6:$C$305,MATCH(F63,CONG_VIEC!$U$6:$U$305,0))&amp;"","")</f>
        <v/>
      </c>
      <c r="H63" s="20" t="str">
        <f aca="false">IFERROR(INDEX(CONG_VIEC!$F$6:$F$305,MATCH(F63,CONG_VIEC!$U$6:$U$305,0))&amp;"","")</f>
        <v/>
      </c>
      <c r="I63" s="26" t="str">
        <f aca="false">IFERROR(INDEX(CONG_VIEC!$J$6:$J$305,MATCH(F63,CONG_VIEC!$U$6:$U$305,0)),"")</f>
        <v/>
      </c>
      <c r="J63" s="2"/>
      <c r="K63" s="24" t="n">
        <v>58</v>
      </c>
      <c r="L63" s="25" t="str">
        <f aca="false">IFERROR(INDEX(CONG_VIEC!$C$6:$C$305,MATCH(K63,CONG_VIEC!$V$6:$V$305,0))&amp;"","")</f>
        <v/>
      </c>
      <c r="M63" s="20" t="str">
        <f aca="false">IFERROR(INDEX(CONG_VIEC!$F$6:$F$305,MATCH(K63,CONG_VIEC!$V$6:$V$305,0))&amp;"","")</f>
        <v/>
      </c>
      <c r="N63" s="26" t="str">
        <f aca="false">IFERROR(INDEX(CONG_VIEC!$J$6:$J$305,MATCH(K63,CONG_VIEC!$V$6:$V$305,0)),"")</f>
        <v/>
      </c>
      <c r="O63" s="2"/>
      <c r="P63" s="24" t="n">
        <v>58</v>
      </c>
      <c r="Q63" s="25" t="str">
        <f aca="false">IFERROR(INDEX(CONG_VIEC!$C$6:$C$305,MATCH(P63,CONG_VIEC!$W$6:$W$305,0))&amp;"","")</f>
        <v/>
      </c>
      <c r="R63" s="20" t="str">
        <f aca="false">IFERROR(INDEX(CONG_VIEC!$F$6:$F$305,MATCH(P63,CONG_VIEC!$W$6:$W$305,0))&amp;"","")</f>
        <v/>
      </c>
      <c r="S63" s="26" t="str">
        <f aca="false">IFERROR(INDEX(CONG_VIEC!$J$6:$J$305,MATCH(P63,CONG_VIEC!$W$6:$W$305,0)),"")</f>
        <v/>
      </c>
    </row>
    <row r="64" customFormat="false" ht="15" hidden="false" customHeight="false" outlineLevel="0" collapsed="false">
      <c r="A64" s="24" t="n">
        <v>59</v>
      </c>
      <c r="B64" s="25" t="str">
        <f aca="false">IFERROR(INDEX(CONG_VIEC!$C$6:$C$305,MATCH(A64,CONG_VIEC!$T$6:$T$305,0))&amp;"","")</f>
        <v/>
      </c>
      <c r="C64" s="20" t="str">
        <f aca="false">IFERROR(INDEX(CONG_VIEC!$F$6:$F$305,MATCH(A64,CONG_VIEC!$T$6:$T$305,0))&amp;"","")</f>
        <v/>
      </c>
      <c r="D64" s="26" t="str">
        <f aca="false">IFERROR(INDEX(CONG_VIEC!$J$6:$J$305,MATCH(A64,CONG_VIEC!$T$6:$T$305,0)),"")</f>
        <v/>
      </c>
      <c r="E64" s="2"/>
      <c r="F64" s="24" t="n">
        <v>59</v>
      </c>
      <c r="G64" s="25" t="str">
        <f aca="false">IFERROR(INDEX(CONG_VIEC!$C$6:$C$305,MATCH(F64,CONG_VIEC!$U$6:$U$305,0))&amp;"","")</f>
        <v/>
      </c>
      <c r="H64" s="20" t="str">
        <f aca="false">IFERROR(INDEX(CONG_VIEC!$F$6:$F$305,MATCH(F64,CONG_VIEC!$U$6:$U$305,0))&amp;"","")</f>
        <v/>
      </c>
      <c r="I64" s="26" t="str">
        <f aca="false">IFERROR(INDEX(CONG_VIEC!$J$6:$J$305,MATCH(F64,CONG_VIEC!$U$6:$U$305,0)),"")</f>
        <v/>
      </c>
      <c r="J64" s="2"/>
      <c r="K64" s="24" t="n">
        <v>59</v>
      </c>
      <c r="L64" s="25" t="str">
        <f aca="false">IFERROR(INDEX(CONG_VIEC!$C$6:$C$305,MATCH(K64,CONG_VIEC!$V$6:$V$305,0))&amp;"","")</f>
        <v/>
      </c>
      <c r="M64" s="20" t="str">
        <f aca="false">IFERROR(INDEX(CONG_VIEC!$F$6:$F$305,MATCH(K64,CONG_VIEC!$V$6:$V$305,0))&amp;"","")</f>
        <v/>
      </c>
      <c r="N64" s="26" t="str">
        <f aca="false">IFERROR(INDEX(CONG_VIEC!$J$6:$J$305,MATCH(K64,CONG_VIEC!$V$6:$V$305,0)),"")</f>
        <v/>
      </c>
      <c r="O64" s="2"/>
      <c r="P64" s="24" t="n">
        <v>59</v>
      </c>
      <c r="Q64" s="25" t="str">
        <f aca="false">IFERROR(INDEX(CONG_VIEC!$C$6:$C$305,MATCH(P64,CONG_VIEC!$W$6:$W$305,0))&amp;"","")</f>
        <v/>
      </c>
      <c r="R64" s="20" t="str">
        <f aca="false">IFERROR(INDEX(CONG_VIEC!$F$6:$F$305,MATCH(P64,CONG_VIEC!$W$6:$W$305,0))&amp;"","")</f>
        <v/>
      </c>
      <c r="S64" s="26" t="str">
        <f aca="false">IFERROR(INDEX(CONG_VIEC!$J$6:$J$305,MATCH(P64,CONG_VIEC!$W$6:$W$305,0)),"")</f>
        <v/>
      </c>
    </row>
    <row r="65" customFormat="false" ht="15" hidden="false" customHeight="false" outlineLevel="0" collapsed="false">
      <c r="A65" s="24" t="n">
        <v>60</v>
      </c>
      <c r="B65" s="25" t="str">
        <f aca="false">IFERROR(INDEX(CONG_VIEC!$C$6:$C$305,MATCH(A65,CONG_VIEC!$T$6:$T$305,0))&amp;"","")</f>
        <v/>
      </c>
      <c r="C65" s="20" t="str">
        <f aca="false">IFERROR(INDEX(CONG_VIEC!$F$6:$F$305,MATCH(A65,CONG_VIEC!$T$6:$T$305,0))&amp;"","")</f>
        <v/>
      </c>
      <c r="D65" s="26" t="str">
        <f aca="false">IFERROR(INDEX(CONG_VIEC!$J$6:$J$305,MATCH(A65,CONG_VIEC!$T$6:$T$305,0)),"")</f>
        <v/>
      </c>
      <c r="E65" s="2"/>
      <c r="F65" s="24" t="n">
        <v>60</v>
      </c>
      <c r="G65" s="25" t="str">
        <f aca="false">IFERROR(INDEX(CONG_VIEC!$C$6:$C$305,MATCH(F65,CONG_VIEC!$U$6:$U$305,0))&amp;"","")</f>
        <v/>
      </c>
      <c r="H65" s="20" t="str">
        <f aca="false">IFERROR(INDEX(CONG_VIEC!$F$6:$F$305,MATCH(F65,CONG_VIEC!$U$6:$U$305,0))&amp;"","")</f>
        <v/>
      </c>
      <c r="I65" s="26" t="str">
        <f aca="false">IFERROR(INDEX(CONG_VIEC!$J$6:$J$305,MATCH(F65,CONG_VIEC!$U$6:$U$305,0)),"")</f>
        <v/>
      </c>
      <c r="J65" s="2"/>
      <c r="K65" s="24" t="n">
        <v>60</v>
      </c>
      <c r="L65" s="25" t="str">
        <f aca="false">IFERROR(INDEX(CONG_VIEC!$C$6:$C$305,MATCH(K65,CONG_VIEC!$V$6:$V$305,0))&amp;"","")</f>
        <v/>
      </c>
      <c r="M65" s="20" t="str">
        <f aca="false">IFERROR(INDEX(CONG_VIEC!$F$6:$F$305,MATCH(K65,CONG_VIEC!$V$6:$V$305,0))&amp;"","")</f>
        <v/>
      </c>
      <c r="N65" s="26" t="str">
        <f aca="false">IFERROR(INDEX(CONG_VIEC!$J$6:$J$305,MATCH(K65,CONG_VIEC!$V$6:$V$305,0)),"")</f>
        <v/>
      </c>
      <c r="O65" s="2"/>
      <c r="P65" s="24" t="n">
        <v>60</v>
      </c>
      <c r="Q65" s="25" t="str">
        <f aca="false">IFERROR(INDEX(CONG_VIEC!$C$6:$C$305,MATCH(P65,CONG_VIEC!$W$6:$W$305,0))&amp;"","")</f>
        <v/>
      </c>
      <c r="R65" s="20" t="str">
        <f aca="false">IFERROR(INDEX(CONG_VIEC!$F$6:$F$305,MATCH(P65,CONG_VIEC!$W$6:$W$305,0))&amp;"","")</f>
        <v/>
      </c>
      <c r="S65" s="26" t="str">
        <f aca="false">IFERROR(INDEX(CONG_VIEC!$J$6:$J$305,MATCH(P65,CONG_VIEC!$W$6:$W$305,0)),"")</f>
        <v/>
      </c>
    </row>
  </sheetData>
  <mergeCells count="4">
    <mergeCell ref="A4:D4"/>
    <mergeCell ref="F4:I4"/>
    <mergeCell ref="K4:N4"/>
    <mergeCell ref="P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3"/>
    <col collapsed="false" customWidth="true" hidden="false" outlineLevel="0" max="6" min="6" style="0" width="4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77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3" t="s">
        <v>78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7" t="str">
        <f aca="false">"1. LÀM NGAY ("&amp;COUNT(CONG_VIEC!$X$6:$X$305)&amp;")"</f>
        <v>1. LÀM NGAY (2)</v>
      </c>
      <c r="B4" s="27"/>
      <c r="C4" s="27"/>
      <c r="D4" s="27"/>
      <c r="E4" s="2"/>
      <c r="F4" s="28" t="str">
        <f aca="false">"2. LÊN LỊCH ("&amp;COUNT(CONG_VIEC!$Y$6:$Y$305)&amp;")"</f>
        <v>2. LÊN LỊCH (1)</v>
      </c>
      <c r="G4" s="28"/>
      <c r="H4" s="28"/>
      <c r="I4" s="28"/>
    </row>
    <row r="5" customFormat="false" ht="15" hidden="false" customHeight="false" outlineLevel="0" collapsed="false">
      <c r="A5" s="8" t="s">
        <v>70</v>
      </c>
      <c r="B5" s="6" t="s">
        <v>6</v>
      </c>
      <c r="C5" s="6" t="s">
        <v>76</v>
      </c>
      <c r="D5" s="6" t="s">
        <v>72</v>
      </c>
      <c r="E5" s="2"/>
      <c r="F5" s="8" t="s">
        <v>70</v>
      </c>
      <c r="G5" s="6" t="s">
        <v>6</v>
      </c>
      <c r="H5" s="6" t="s">
        <v>76</v>
      </c>
      <c r="I5" s="6" t="s">
        <v>72</v>
      </c>
    </row>
    <row r="6" customFormat="false" ht="15" hidden="false" customHeight="false" outlineLevel="0" collapsed="false">
      <c r="A6" s="24" t="n">
        <v>1</v>
      </c>
      <c r="B6" s="25" t="str">
        <f aca="false">IFERROR(INDEX(CONG_VIEC!$C$6:$C$305,MATCH(A6,CONG_VIEC!$X$6:$X$305,0))&amp;"","")</f>
        <v>[VÍ DỤ] Thu gom rác tồn đọng tuyến phố chính</v>
      </c>
      <c r="C6" s="20" t="str">
        <f aca="false">IFERROR(INDEX(CONG_VIEC!$F$6:$F$305,MATCH(A6,CONG_VIEC!$X$6:$X$305,0))&amp;"","")</f>
        <v>Người 1 (sửa tên)</v>
      </c>
      <c r="D6" s="26" t="n">
        <f aca="false">IFERROR(INDEX(CONG_VIEC!$J$6:$J$305,MATCH(A6,CONG_VIEC!$X$6:$X$305,0)),"")</f>
        <v>46286</v>
      </c>
      <c r="E6" s="2"/>
      <c r="F6" s="24" t="n">
        <v>1</v>
      </c>
      <c r="G6" s="25" t="str">
        <f aca="false">IFERROR(INDEX(CONG_VIEC!$C$6:$C$305,MATCH(F6,CONG_VIEC!$Y$6:$Y$305,0))&amp;"","")</f>
        <v>[VÍ DỤ] Lập kế hoạch trồng cây xanh quý IV</v>
      </c>
      <c r="H6" s="20" t="str">
        <f aca="false">IFERROR(INDEX(CONG_VIEC!$F$6:$F$305,MATCH(F6,CONG_VIEC!$Y$6:$Y$305,0))&amp;"","")</f>
        <v>Người 4 (sửa tên)</v>
      </c>
      <c r="I6" s="26" t="n">
        <f aca="false">IFERROR(INDEX(CONG_VIEC!$J$6:$J$305,MATCH(F6,CONG_VIEC!$Y$6:$Y$305,0)),"")</f>
        <v>46302</v>
      </c>
    </row>
    <row r="7" customFormat="false" ht="15" hidden="false" customHeight="false" outlineLevel="0" collapsed="false">
      <c r="A7" s="24" t="n">
        <v>2</v>
      </c>
      <c r="B7" s="25" t="str">
        <f aca="false">IFERROR(INDEX(CONG_VIEC!$C$6:$C$305,MATCH(A7,CONG_VIEC!$X$6:$X$305,0))&amp;"","")</f>
        <v>[VÍ DỤ] Báo cáo tiến độ vệ sinh môi trường tháng 9</v>
      </c>
      <c r="C7" s="20" t="str">
        <f aca="false">IFERROR(INDEX(CONG_VIEC!$F$6:$F$305,MATCH(A7,CONG_VIEC!$X$6:$X$305,0))&amp;"","")</f>
        <v>Người 2 (sửa tên)</v>
      </c>
      <c r="D7" s="26" t="n">
        <f aca="false">IFERROR(INDEX(CONG_VIEC!$J$6:$J$305,MATCH(A7,CONG_VIEC!$X$6:$X$305,0)),"")</f>
        <v>46288</v>
      </c>
      <c r="E7" s="2"/>
      <c r="F7" s="24" t="n">
        <v>2</v>
      </c>
      <c r="G7" s="25" t="str">
        <f aca="false">IFERROR(INDEX(CONG_VIEC!$C$6:$C$305,MATCH(F7,CONG_VIEC!$Y$6:$Y$305,0))&amp;"","")</f>
        <v/>
      </c>
      <c r="H7" s="20" t="str">
        <f aca="false">IFERROR(INDEX(CONG_VIEC!$F$6:$F$305,MATCH(F7,CONG_VIEC!$Y$6:$Y$305,0))&amp;"","")</f>
        <v/>
      </c>
      <c r="I7" s="26" t="str">
        <f aca="false">IFERROR(INDEX(CONG_VIEC!$J$6:$J$305,MATCH(F7,CONG_VIEC!$Y$6:$Y$305,0)),"")</f>
        <v/>
      </c>
    </row>
    <row r="8" customFormat="false" ht="15" hidden="false" customHeight="false" outlineLevel="0" collapsed="false">
      <c r="A8" s="24" t="n">
        <v>3</v>
      </c>
      <c r="B8" s="25" t="str">
        <f aca="false">IFERROR(INDEX(CONG_VIEC!$C$6:$C$305,MATCH(A8,CONG_VIEC!$X$6:$X$305,0))&amp;"","")</f>
        <v/>
      </c>
      <c r="C8" s="20" t="str">
        <f aca="false">IFERROR(INDEX(CONG_VIEC!$F$6:$F$305,MATCH(A8,CONG_VIEC!$X$6:$X$305,0))&amp;"","")</f>
        <v/>
      </c>
      <c r="D8" s="26" t="str">
        <f aca="false">IFERROR(INDEX(CONG_VIEC!$J$6:$J$305,MATCH(A8,CONG_VIEC!$X$6:$X$305,0)),"")</f>
        <v/>
      </c>
      <c r="E8" s="2"/>
      <c r="F8" s="24" t="n">
        <v>3</v>
      </c>
      <c r="G8" s="25" t="str">
        <f aca="false">IFERROR(INDEX(CONG_VIEC!$C$6:$C$305,MATCH(F8,CONG_VIEC!$Y$6:$Y$305,0))&amp;"","")</f>
        <v/>
      </c>
      <c r="H8" s="20" t="str">
        <f aca="false">IFERROR(INDEX(CONG_VIEC!$F$6:$F$305,MATCH(F8,CONG_VIEC!$Y$6:$Y$305,0))&amp;"","")</f>
        <v/>
      </c>
      <c r="I8" s="26" t="str">
        <f aca="false">IFERROR(INDEX(CONG_VIEC!$J$6:$J$305,MATCH(F8,CONG_VIEC!$Y$6:$Y$305,0)),"")</f>
        <v/>
      </c>
    </row>
    <row r="9" customFormat="false" ht="15" hidden="false" customHeight="false" outlineLevel="0" collapsed="false">
      <c r="A9" s="24" t="n">
        <v>4</v>
      </c>
      <c r="B9" s="25" t="str">
        <f aca="false">IFERROR(INDEX(CONG_VIEC!$C$6:$C$305,MATCH(A9,CONG_VIEC!$X$6:$X$305,0))&amp;"","")</f>
        <v/>
      </c>
      <c r="C9" s="20" t="str">
        <f aca="false">IFERROR(INDEX(CONG_VIEC!$F$6:$F$305,MATCH(A9,CONG_VIEC!$X$6:$X$305,0))&amp;"","")</f>
        <v/>
      </c>
      <c r="D9" s="26" t="str">
        <f aca="false">IFERROR(INDEX(CONG_VIEC!$J$6:$J$305,MATCH(A9,CONG_VIEC!$X$6:$X$305,0)),"")</f>
        <v/>
      </c>
      <c r="E9" s="2"/>
      <c r="F9" s="24" t="n">
        <v>4</v>
      </c>
      <c r="G9" s="25" t="str">
        <f aca="false">IFERROR(INDEX(CONG_VIEC!$C$6:$C$305,MATCH(F9,CONG_VIEC!$Y$6:$Y$305,0))&amp;"","")</f>
        <v/>
      </c>
      <c r="H9" s="20" t="str">
        <f aca="false">IFERROR(INDEX(CONG_VIEC!$F$6:$F$305,MATCH(F9,CONG_VIEC!$Y$6:$Y$305,0))&amp;"","")</f>
        <v/>
      </c>
      <c r="I9" s="26" t="str">
        <f aca="false">IFERROR(INDEX(CONG_VIEC!$J$6:$J$305,MATCH(F9,CONG_VIEC!$Y$6:$Y$305,0)),"")</f>
        <v/>
      </c>
    </row>
    <row r="10" customFormat="false" ht="15" hidden="false" customHeight="false" outlineLevel="0" collapsed="false">
      <c r="A10" s="24" t="n">
        <v>5</v>
      </c>
      <c r="B10" s="25" t="str">
        <f aca="false">IFERROR(INDEX(CONG_VIEC!$C$6:$C$305,MATCH(A10,CONG_VIEC!$X$6:$X$305,0))&amp;"","")</f>
        <v/>
      </c>
      <c r="C10" s="20" t="str">
        <f aca="false">IFERROR(INDEX(CONG_VIEC!$F$6:$F$305,MATCH(A10,CONG_VIEC!$X$6:$X$305,0))&amp;"","")</f>
        <v/>
      </c>
      <c r="D10" s="26" t="str">
        <f aca="false">IFERROR(INDEX(CONG_VIEC!$J$6:$J$305,MATCH(A10,CONG_VIEC!$X$6:$X$305,0)),"")</f>
        <v/>
      </c>
      <c r="E10" s="2"/>
      <c r="F10" s="24" t="n">
        <v>5</v>
      </c>
      <c r="G10" s="25" t="str">
        <f aca="false">IFERROR(INDEX(CONG_VIEC!$C$6:$C$305,MATCH(F10,CONG_VIEC!$Y$6:$Y$305,0))&amp;"","")</f>
        <v/>
      </c>
      <c r="H10" s="20" t="str">
        <f aca="false">IFERROR(INDEX(CONG_VIEC!$F$6:$F$305,MATCH(F10,CONG_VIEC!$Y$6:$Y$305,0))&amp;"","")</f>
        <v/>
      </c>
      <c r="I10" s="26" t="str">
        <f aca="false">IFERROR(INDEX(CONG_VIEC!$J$6:$J$305,MATCH(F10,CONG_VIEC!$Y$6:$Y$305,0)),"")</f>
        <v/>
      </c>
    </row>
    <row r="11" customFormat="false" ht="15" hidden="false" customHeight="false" outlineLevel="0" collapsed="false">
      <c r="A11" s="24" t="n">
        <v>6</v>
      </c>
      <c r="B11" s="25" t="str">
        <f aca="false">IFERROR(INDEX(CONG_VIEC!$C$6:$C$305,MATCH(A11,CONG_VIEC!$X$6:$X$305,0))&amp;"","")</f>
        <v/>
      </c>
      <c r="C11" s="20" t="str">
        <f aca="false">IFERROR(INDEX(CONG_VIEC!$F$6:$F$305,MATCH(A11,CONG_VIEC!$X$6:$X$305,0))&amp;"","")</f>
        <v/>
      </c>
      <c r="D11" s="26" t="str">
        <f aca="false">IFERROR(INDEX(CONG_VIEC!$J$6:$J$305,MATCH(A11,CONG_VIEC!$X$6:$X$305,0)),"")</f>
        <v/>
      </c>
      <c r="E11" s="2"/>
      <c r="F11" s="24" t="n">
        <v>6</v>
      </c>
      <c r="G11" s="25" t="str">
        <f aca="false">IFERROR(INDEX(CONG_VIEC!$C$6:$C$305,MATCH(F11,CONG_VIEC!$Y$6:$Y$305,0))&amp;"","")</f>
        <v/>
      </c>
      <c r="H11" s="20" t="str">
        <f aca="false">IFERROR(INDEX(CONG_VIEC!$F$6:$F$305,MATCH(F11,CONG_VIEC!$Y$6:$Y$305,0))&amp;"","")</f>
        <v/>
      </c>
      <c r="I11" s="26" t="str">
        <f aca="false">IFERROR(INDEX(CONG_VIEC!$J$6:$J$305,MATCH(F11,CONG_VIEC!$Y$6:$Y$305,0)),"")</f>
        <v/>
      </c>
    </row>
    <row r="12" customFormat="false" ht="15" hidden="false" customHeight="false" outlineLevel="0" collapsed="false">
      <c r="A12" s="24" t="n">
        <v>7</v>
      </c>
      <c r="B12" s="25" t="str">
        <f aca="false">IFERROR(INDEX(CONG_VIEC!$C$6:$C$305,MATCH(A12,CONG_VIEC!$X$6:$X$305,0))&amp;"","")</f>
        <v/>
      </c>
      <c r="C12" s="20" t="str">
        <f aca="false">IFERROR(INDEX(CONG_VIEC!$F$6:$F$305,MATCH(A12,CONG_VIEC!$X$6:$X$305,0))&amp;"","")</f>
        <v/>
      </c>
      <c r="D12" s="26" t="str">
        <f aca="false">IFERROR(INDEX(CONG_VIEC!$J$6:$J$305,MATCH(A12,CONG_VIEC!$X$6:$X$305,0)),"")</f>
        <v/>
      </c>
      <c r="E12" s="2"/>
      <c r="F12" s="24" t="n">
        <v>7</v>
      </c>
      <c r="G12" s="25" t="str">
        <f aca="false">IFERROR(INDEX(CONG_VIEC!$C$6:$C$305,MATCH(F12,CONG_VIEC!$Y$6:$Y$305,0))&amp;"","")</f>
        <v/>
      </c>
      <c r="H12" s="20" t="str">
        <f aca="false">IFERROR(INDEX(CONG_VIEC!$F$6:$F$305,MATCH(F12,CONG_VIEC!$Y$6:$Y$305,0))&amp;"","")</f>
        <v/>
      </c>
      <c r="I12" s="26" t="str">
        <f aca="false">IFERROR(INDEX(CONG_VIEC!$J$6:$J$305,MATCH(F12,CONG_VIEC!$Y$6:$Y$305,0)),"")</f>
        <v/>
      </c>
    </row>
    <row r="13" customFormat="false" ht="15" hidden="false" customHeight="false" outlineLevel="0" collapsed="false">
      <c r="A13" s="24" t="n">
        <v>8</v>
      </c>
      <c r="B13" s="25" t="str">
        <f aca="false">IFERROR(INDEX(CONG_VIEC!$C$6:$C$305,MATCH(A13,CONG_VIEC!$X$6:$X$305,0))&amp;"","")</f>
        <v/>
      </c>
      <c r="C13" s="20" t="str">
        <f aca="false">IFERROR(INDEX(CONG_VIEC!$F$6:$F$305,MATCH(A13,CONG_VIEC!$X$6:$X$305,0))&amp;"","")</f>
        <v/>
      </c>
      <c r="D13" s="26" t="str">
        <f aca="false">IFERROR(INDEX(CONG_VIEC!$J$6:$J$305,MATCH(A13,CONG_VIEC!$X$6:$X$305,0)),"")</f>
        <v/>
      </c>
      <c r="E13" s="2"/>
      <c r="F13" s="24" t="n">
        <v>8</v>
      </c>
      <c r="G13" s="25" t="str">
        <f aca="false">IFERROR(INDEX(CONG_VIEC!$C$6:$C$305,MATCH(F13,CONG_VIEC!$Y$6:$Y$305,0))&amp;"","")</f>
        <v/>
      </c>
      <c r="H13" s="20" t="str">
        <f aca="false">IFERROR(INDEX(CONG_VIEC!$F$6:$F$305,MATCH(F13,CONG_VIEC!$Y$6:$Y$305,0))&amp;"","")</f>
        <v/>
      </c>
      <c r="I13" s="26" t="str">
        <f aca="false">IFERROR(INDEX(CONG_VIEC!$J$6:$J$305,MATCH(F13,CONG_VIEC!$Y$6:$Y$305,0)),"")</f>
        <v/>
      </c>
    </row>
    <row r="14" customFormat="false" ht="15" hidden="false" customHeight="false" outlineLevel="0" collapsed="false">
      <c r="A14" s="24" t="n">
        <v>9</v>
      </c>
      <c r="B14" s="25" t="str">
        <f aca="false">IFERROR(INDEX(CONG_VIEC!$C$6:$C$305,MATCH(A14,CONG_VIEC!$X$6:$X$305,0))&amp;"","")</f>
        <v/>
      </c>
      <c r="C14" s="20" t="str">
        <f aca="false">IFERROR(INDEX(CONG_VIEC!$F$6:$F$305,MATCH(A14,CONG_VIEC!$X$6:$X$305,0))&amp;"","")</f>
        <v/>
      </c>
      <c r="D14" s="26" t="str">
        <f aca="false">IFERROR(INDEX(CONG_VIEC!$J$6:$J$305,MATCH(A14,CONG_VIEC!$X$6:$X$305,0)),"")</f>
        <v/>
      </c>
      <c r="E14" s="2"/>
      <c r="F14" s="24" t="n">
        <v>9</v>
      </c>
      <c r="G14" s="25" t="str">
        <f aca="false">IFERROR(INDEX(CONG_VIEC!$C$6:$C$305,MATCH(F14,CONG_VIEC!$Y$6:$Y$305,0))&amp;"","")</f>
        <v/>
      </c>
      <c r="H14" s="20" t="str">
        <f aca="false">IFERROR(INDEX(CONG_VIEC!$F$6:$F$305,MATCH(F14,CONG_VIEC!$Y$6:$Y$305,0))&amp;"","")</f>
        <v/>
      </c>
      <c r="I14" s="26" t="str">
        <f aca="false">IFERROR(INDEX(CONG_VIEC!$J$6:$J$305,MATCH(F14,CONG_VIEC!$Y$6:$Y$305,0)),"")</f>
        <v/>
      </c>
    </row>
    <row r="15" customFormat="false" ht="15" hidden="false" customHeight="false" outlineLevel="0" collapsed="false">
      <c r="A15" s="24" t="n">
        <v>10</v>
      </c>
      <c r="B15" s="25" t="str">
        <f aca="false">IFERROR(INDEX(CONG_VIEC!$C$6:$C$305,MATCH(A15,CONG_VIEC!$X$6:$X$305,0))&amp;"","")</f>
        <v/>
      </c>
      <c r="C15" s="20" t="str">
        <f aca="false">IFERROR(INDEX(CONG_VIEC!$F$6:$F$305,MATCH(A15,CONG_VIEC!$X$6:$X$305,0))&amp;"","")</f>
        <v/>
      </c>
      <c r="D15" s="26" t="str">
        <f aca="false">IFERROR(INDEX(CONG_VIEC!$J$6:$J$305,MATCH(A15,CONG_VIEC!$X$6:$X$305,0)),"")</f>
        <v/>
      </c>
      <c r="E15" s="2"/>
      <c r="F15" s="24" t="n">
        <v>10</v>
      </c>
      <c r="G15" s="25" t="str">
        <f aca="false">IFERROR(INDEX(CONG_VIEC!$C$6:$C$305,MATCH(F15,CONG_VIEC!$Y$6:$Y$305,0))&amp;"","")</f>
        <v/>
      </c>
      <c r="H15" s="20" t="str">
        <f aca="false">IFERROR(INDEX(CONG_VIEC!$F$6:$F$305,MATCH(F15,CONG_VIEC!$Y$6:$Y$305,0))&amp;"","")</f>
        <v/>
      </c>
      <c r="I15" s="26" t="str">
        <f aca="false">IFERROR(INDEX(CONG_VIEC!$J$6:$J$305,MATCH(F15,CONG_VIEC!$Y$6:$Y$305,0)),"")</f>
        <v/>
      </c>
    </row>
    <row r="16" customFormat="false" ht="15" hidden="false" customHeight="false" outlineLevel="0" collapsed="false">
      <c r="A16" s="24" t="n">
        <v>11</v>
      </c>
      <c r="B16" s="25" t="str">
        <f aca="false">IFERROR(INDEX(CONG_VIEC!$C$6:$C$305,MATCH(A16,CONG_VIEC!$X$6:$X$305,0))&amp;"","")</f>
        <v/>
      </c>
      <c r="C16" s="20" t="str">
        <f aca="false">IFERROR(INDEX(CONG_VIEC!$F$6:$F$305,MATCH(A16,CONG_VIEC!$X$6:$X$305,0))&amp;"","")</f>
        <v/>
      </c>
      <c r="D16" s="26" t="str">
        <f aca="false">IFERROR(INDEX(CONG_VIEC!$J$6:$J$305,MATCH(A16,CONG_VIEC!$X$6:$X$305,0)),"")</f>
        <v/>
      </c>
      <c r="E16" s="2"/>
      <c r="F16" s="24" t="n">
        <v>11</v>
      </c>
      <c r="G16" s="25" t="str">
        <f aca="false">IFERROR(INDEX(CONG_VIEC!$C$6:$C$305,MATCH(F16,CONG_VIEC!$Y$6:$Y$305,0))&amp;"","")</f>
        <v/>
      </c>
      <c r="H16" s="20" t="str">
        <f aca="false">IFERROR(INDEX(CONG_VIEC!$F$6:$F$305,MATCH(F16,CONG_VIEC!$Y$6:$Y$305,0))&amp;"","")</f>
        <v/>
      </c>
      <c r="I16" s="26" t="str">
        <f aca="false">IFERROR(INDEX(CONG_VIEC!$J$6:$J$305,MATCH(F16,CONG_VIEC!$Y$6:$Y$305,0)),"")</f>
        <v/>
      </c>
    </row>
    <row r="17" customFormat="false" ht="15" hidden="false" customHeight="false" outlineLevel="0" collapsed="false">
      <c r="A17" s="24" t="n">
        <v>12</v>
      </c>
      <c r="B17" s="25" t="str">
        <f aca="false">IFERROR(INDEX(CONG_VIEC!$C$6:$C$305,MATCH(A17,CONG_VIEC!$X$6:$X$305,0))&amp;"","")</f>
        <v/>
      </c>
      <c r="C17" s="20" t="str">
        <f aca="false">IFERROR(INDEX(CONG_VIEC!$F$6:$F$305,MATCH(A17,CONG_VIEC!$X$6:$X$305,0))&amp;"","")</f>
        <v/>
      </c>
      <c r="D17" s="26" t="str">
        <f aca="false">IFERROR(INDEX(CONG_VIEC!$J$6:$J$305,MATCH(A17,CONG_VIEC!$X$6:$X$305,0)),"")</f>
        <v/>
      </c>
      <c r="E17" s="2"/>
      <c r="F17" s="24" t="n">
        <v>12</v>
      </c>
      <c r="G17" s="25" t="str">
        <f aca="false">IFERROR(INDEX(CONG_VIEC!$C$6:$C$305,MATCH(F17,CONG_VIEC!$Y$6:$Y$305,0))&amp;"","")</f>
        <v/>
      </c>
      <c r="H17" s="20" t="str">
        <f aca="false">IFERROR(INDEX(CONG_VIEC!$F$6:$F$305,MATCH(F17,CONG_VIEC!$Y$6:$Y$305,0))&amp;"","")</f>
        <v/>
      </c>
      <c r="I17" s="26" t="str">
        <f aca="false">IFERROR(INDEX(CONG_VIEC!$J$6:$J$305,MATCH(F17,CONG_VIEC!$Y$6:$Y$305,0)),"")</f>
        <v/>
      </c>
    </row>
    <row r="18" customFormat="false" ht="15" hidden="false" customHeight="false" outlineLevel="0" collapsed="false">
      <c r="A18" s="24" t="n">
        <v>13</v>
      </c>
      <c r="B18" s="25" t="str">
        <f aca="false">IFERROR(INDEX(CONG_VIEC!$C$6:$C$305,MATCH(A18,CONG_VIEC!$X$6:$X$305,0))&amp;"","")</f>
        <v/>
      </c>
      <c r="C18" s="20" t="str">
        <f aca="false">IFERROR(INDEX(CONG_VIEC!$F$6:$F$305,MATCH(A18,CONG_VIEC!$X$6:$X$305,0))&amp;"","")</f>
        <v/>
      </c>
      <c r="D18" s="26" t="str">
        <f aca="false">IFERROR(INDEX(CONG_VIEC!$J$6:$J$305,MATCH(A18,CONG_VIEC!$X$6:$X$305,0)),"")</f>
        <v/>
      </c>
      <c r="E18" s="2"/>
      <c r="F18" s="24" t="n">
        <v>13</v>
      </c>
      <c r="G18" s="25" t="str">
        <f aca="false">IFERROR(INDEX(CONG_VIEC!$C$6:$C$305,MATCH(F18,CONG_VIEC!$Y$6:$Y$305,0))&amp;"","")</f>
        <v/>
      </c>
      <c r="H18" s="20" t="str">
        <f aca="false">IFERROR(INDEX(CONG_VIEC!$F$6:$F$305,MATCH(F18,CONG_VIEC!$Y$6:$Y$305,0))&amp;"","")</f>
        <v/>
      </c>
      <c r="I18" s="26" t="str">
        <f aca="false">IFERROR(INDEX(CONG_VIEC!$J$6:$J$305,MATCH(F18,CONG_VIEC!$Y$6:$Y$305,0)),"")</f>
        <v/>
      </c>
    </row>
    <row r="19" customFormat="false" ht="15" hidden="false" customHeight="false" outlineLevel="0" collapsed="false">
      <c r="A19" s="24" t="n">
        <v>14</v>
      </c>
      <c r="B19" s="25" t="str">
        <f aca="false">IFERROR(INDEX(CONG_VIEC!$C$6:$C$305,MATCH(A19,CONG_VIEC!$X$6:$X$305,0))&amp;"","")</f>
        <v/>
      </c>
      <c r="C19" s="20" t="str">
        <f aca="false">IFERROR(INDEX(CONG_VIEC!$F$6:$F$305,MATCH(A19,CONG_VIEC!$X$6:$X$305,0))&amp;"","")</f>
        <v/>
      </c>
      <c r="D19" s="26" t="str">
        <f aca="false">IFERROR(INDEX(CONG_VIEC!$J$6:$J$305,MATCH(A19,CONG_VIEC!$X$6:$X$305,0)),"")</f>
        <v/>
      </c>
      <c r="E19" s="2"/>
      <c r="F19" s="24" t="n">
        <v>14</v>
      </c>
      <c r="G19" s="25" t="str">
        <f aca="false">IFERROR(INDEX(CONG_VIEC!$C$6:$C$305,MATCH(F19,CONG_VIEC!$Y$6:$Y$305,0))&amp;"","")</f>
        <v/>
      </c>
      <c r="H19" s="20" t="str">
        <f aca="false">IFERROR(INDEX(CONG_VIEC!$F$6:$F$305,MATCH(F19,CONG_VIEC!$Y$6:$Y$305,0))&amp;"","")</f>
        <v/>
      </c>
      <c r="I19" s="26" t="str">
        <f aca="false">IFERROR(INDEX(CONG_VIEC!$J$6:$J$305,MATCH(F19,CONG_VIEC!$Y$6:$Y$305,0)),"")</f>
        <v/>
      </c>
    </row>
    <row r="20" customFormat="false" ht="15" hidden="false" customHeight="false" outlineLevel="0" collapsed="false">
      <c r="A20" s="24" t="n">
        <v>15</v>
      </c>
      <c r="B20" s="25" t="str">
        <f aca="false">IFERROR(INDEX(CONG_VIEC!$C$6:$C$305,MATCH(A20,CONG_VIEC!$X$6:$X$305,0))&amp;"","")</f>
        <v/>
      </c>
      <c r="C20" s="20" t="str">
        <f aca="false">IFERROR(INDEX(CONG_VIEC!$F$6:$F$305,MATCH(A20,CONG_VIEC!$X$6:$X$305,0))&amp;"","")</f>
        <v/>
      </c>
      <c r="D20" s="26" t="str">
        <f aca="false">IFERROR(INDEX(CONG_VIEC!$J$6:$J$305,MATCH(A20,CONG_VIEC!$X$6:$X$305,0)),"")</f>
        <v/>
      </c>
      <c r="E20" s="2"/>
      <c r="F20" s="24" t="n">
        <v>15</v>
      </c>
      <c r="G20" s="25" t="str">
        <f aca="false">IFERROR(INDEX(CONG_VIEC!$C$6:$C$305,MATCH(F20,CONG_VIEC!$Y$6:$Y$305,0))&amp;"","")</f>
        <v/>
      </c>
      <c r="H20" s="20" t="str">
        <f aca="false">IFERROR(INDEX(CONG_VIEC!$F$6:$F$305,MATCH(F20,CONG_VIEC!$Y$6:$Y$305,0))&amp;"","")</f>
        <v/>
      </c>
      <c r="I20" s="26" t="str">
        <f aca="false">IFERROR(INDEX(CONG_VIEC!$J$6:$J$305,MATCH(F20,CONG_VIEC!$Y$6:$Y$305,0)),"")</f>
        <v/>
      </c>
    </row>
    <row r="21" customFormat="false" ht="15" hidden="false" customHeight="false" outlineLevel="0" collapsed="false">
      <c r="A21" s="24" t="n">
        <v>16</v>
      </c>
      <c r="B21" s="25" t="str">
        <f aca="false">IFERROR(INDEX(CONG_VIEC!$C$6:$C$305,MATCH(A21,CONG_VIEC!$X$6:$X$305,0))&amp;"","")</f>
        <v/>
      </c>
      <c r="C21" s="20" t="str">
        <f aca="false">IFERROR(INDEX(CONG_VIEC!$F$6:$F$305,MATCH(A21,CONG_VIEC!$X$6:$X$305,0))&amp;"","")</f>
        <v/>
      </c>
      <c r="D21" s="26" t="str">
        <f aca="false">IFERROR(INDEX(CONG_VIEC!$J$6:$J$305,MATCH(A21,CONG_VIEC!$X$6:$X$305,0)),"")</f>
        <v/>
      </c>
      <c r="E21" s="2"/>
      <c r="F21" s="24" t="n">
        <v>16</v>
      </c>
      <c r="G21" s="25" t="str">
        <f aca="false">IFERROR(INDEX(CONG_VIEC!$C$6:$C$305,MATCH(F21,CONG_VIEC!$Y$6:$Y$305,0))&amp;"","")</f>
        <v/>
      </c>
      <c r="H21" s="20" t="str">
        <f aca="false">IFERROR(INDEX(CONG_VIEC!$F$6:$F$305,MATCH(F21,CONG_VIEC!$Y$6:$Y$305,0))&amp;"","")</f>
        <v/>
      </c>
      <c r="I21" s="26" t="str">
        <f aca="false">IFERROR(INDEX(CONG_VIEC!$J$6:$J$305,MATCH(F21,CONG_VIEC!$Y$6:$Y$305,0)),"")</f>
        <v/>
      </c>
    </row>
    <row r="22" customFormat="false" ht="15" hidden="false" customHeight="false" outlineLevel="0" collapsed="false">
      <c r="A22" s="24" t="n">
        <v>17</v>
      </c>
      <c r="B22" s="25" t="str">
        <f aca="false">IFERROR(INDEX(CONG_VIEC!$C$6:$C$305,MATCH(A22,CONG_VIEC!$X$6:$X$305,0))&amp;"","")</f>
        <v/>
      </c>
      <c r="C22" s="20" t="str">
        <f aca="false">IFERROR(INDEX(CONG_VIEC!$F$6:$F$305,MATCH(A22,CONG_VIEC!$X$6:$X$305,0))&amp;"","")</f>
        <v/>
      </c>
      <c r="D22" s="26" t="str">
        <f aca="false">IFERROR(INDEX(CONG_VIEC!$J$6:$J$305,MATCH(A22,CONG_VIEC!$X$6:$X$305,0)),"")</f>
        <v/>
      </c>
      <c r="E22" s="2"/>
      <c r="F22" s="24" t="n">
        <v>17</v>
      </c>
      <c r="G22" s="25" t="str">
        <f aca="false">IFERROR(INDEX(CONG_VIEC!$C$6:$C$305,MATCH(F22,CONG_VIEC!$Y$6:$Y$305,0))&amp;"","")</f>
        <v/>
      </c>
      <c r="H22" s="20" t="str">
        <f aca="false">IFERROR(INDEX(CONG_VIEC!$F$6:$F$305,MATCH(F22,CONG_VIEC!$Y$6:$Y$305,0))&amp;"","")</f>
        <v/>
      </c>
      <c r="I22" s="26" t="str">
        <f aca="false">IFERROR(INDEX(CONG_VIEC!$J$6:$J$305,MATCH(F22,CONG_VIEC!$Y$6:$Y$305,0)),"")</f>
        <v/>
      </c>
    </row>
    <row r="23" customFormat="false" ht="15" hidden="false" customHeight="false" outlineLevel="0" collapsed="false">
      <c r="A23" s="24" t="n">
        <v>18</v>
      </c>
      <c r="B23" s="25" t="str">
        <f aca="false">IFERROR(INDEX(CONG_VIEC!$C$6:$C$305,MATCH(A23,CONG_VIEC!$X$6:$X$305,0))&amp;"","")</f>
        <v/>
      </c>
      <c r="C23" s="20" t="str">
        <f aca="false">IFERROR(INDEX(CONG_VIEC!$F$6:$F$305,MATCH(A23,CONG_VIEC!$X$6:$X$305,0))&amp;"","")</f>
        <v/>
      </c>
      <c r="D23" s="26" t="str">
        <f aca="false">IFERROR(INDEX(CONG_VIEC!$J$6:$J$305,MATCH(A23,CONG_VIEC!$X$6:$X$305,0)),"")</f>
        <v/>
      </c>
      <c r="E23" s="2"/>
      <c r="F23" s="24" t="n">
        <v>18</v>
      </c>
      <c r="G23" s="25" t="str">
        <f aca="false">IFERROR(INDEX(CONG_VIEC!$C$6:$C$305,MATCH(F23,CONG_VIEC!$Y$6:$Y$305,0))&amp;"","")</f>
        <v/>
      </c>
      <c r="H23" s="20" t="str">
        <f aca="false">IFERROR(INDEX(CONG_VIEC!$F$6:$F$305,MATCH(F23,CONG_VIEC!$Y$6:$Y$305,0))&amp;"","")</f>
        <v/>
      </c>
      <c r="I23" s="26" t="str">
        <f aca="false">IFERROR(INDEX(CONG_VIEC!$J$6:$J$305,MATCH(F23,CONG_VIEC!$Y$6:$Y$305,0)),"")</f>
        <v/>
      </c>
    </row>
    <row r="24" customFormat="false" ht="15" hidden="false" customHeight="false" outlineLevel="0" collapsed="false">
      <c r="A24" s="24" t="n">
        <v>19</v>
      </c>
      <c r="B24" s="25" t="str">
        <f aca="false">IFERROR(INDEX(CONG_VIEC!$C$6:$C$305,MATCH(A24,CONG_VIEC!$X$6:$X$305,0))&amp;"","")</f>
        <v/>
      </c>
      <c r="C24" s="20" t="str">
        <f aca="false">IFERROR(INDEX(CONG_VIEC!$F$6:$F$305,MATCH(A24,CONG_VIEC!$X$6:$X$305,0))&amp;"","")</f>
        <v/>
      </c>
      <c r="D24" s="26" t="str">
        <f aca="false">IFERROR(INDEX(CONG_VIEC!$J$6:$J$305,MATCH(A24,CONG_VIEC!$X$6:$X$305,0)),"")</f>
        <v/>
      </c>
      <c r="E24" s="2"/>
      <c r="F24" s="24" t="n">
        <v>19</v>
      </c>
      <c r="G24" s="25" t="str">
        <f aca="false">IFERROR(INDEX(CONG_VIEC!$C$6:$C$305,MATCH(F24,CONG_VIEC!$Y$6:$Y$305,0))&amp;"","")</f>
        <v/>
      </c>
      <c r="H24" s="20" t="str">
        <f aca="false">IFERROR(INDEX(CONG_VIEC!$F$6:$F$305,MATCH(F24,CONG_VIEC!$Y$6:$Y$305,0))&amp;"","")</f>
        <v/>
      </c>
      <c r="I24" s="26" t="str">
        <f aca="false">IFERROR(INDEX(CONG_VIEC!$J$6:$J$305,MATCH(F24,CONG_VIEC!$Y$6:$Y$305,0)),"")</f>
        <v/>
      </c>
    </row>
    <row r="25" customFormat="false" ht="15" hidden="false" customHeight="false" outlineLevel="0" collapsed="false">
      <c r="A25" s="24" t="n">
        <v>20</v>
      </c>
      <c r="B25" s="25" t="str">
        <f aca="false">IFERROR(INDEX(CONG_VIEC!$C$6:$C$305,MATCH(A25,CONG_VIEC!$X$6:$X$305,0))&amp;"","")</f>
        <v/>
      </c>
      <c r="C25" s="20" t="str">
        <f aca="false">IFERROR(INDEX(CONG_VIEC!$F$6:$F$305,MATCH(A25,CONG_VIEC!$X$6:$X$305,0))&amp;"","")</f>
        <v/>
      </c>
      <c r="D25" s="26" t="str">
        <f aca="false">IFERROR(INDEX(CONG_VIEC!$J$6:$J$305,MATCH(A25,CONG_VIEC!$X$6:$X$305,0)),"")</f>
        <v/>
      </c>
      <c r="E25" s="2"/>
      <c r="F25" s="24" t="n">
        <v>20</v>
      </c>
      <c r="G25" s="25" t="str">
        <f aca="false">IFERROR(INDEX(CONG_VIEC!$C$6:$C$305,MATCH(F25,CONG_VIEC!$Y$6:$Y$305,0))&amp;"","")</f>
        <v/>
      </c>
      <c r="H25" s="20" t="str">
        <f aca="false">IFERROR(INDEX(CONG_VIEC!$F$6:$F$305,MATCH(F25,CONG_VIEC!$Y$6:$Y$305,0))&amp;"","")</f>
        <v/>
      </c>
      <c r="I25" s="26" t="str">
        <f aca="false">IFERROR(INDEX(CONG_VIEC!$J$6:$J$305,MATCH(F25,CONG_VIEC!$Y$6:$Y$305,0)),"")</f>
        <v/>
      </c>
    </row>
    <row r="26" customFormat="false" ht="15" hidden="false" customHeight="false" outlineLevel="0" collapsed="false">
      <c r="A26" s="24" t="n">
        <v>21</v>
      </c>
      <c r="B26" s="25" t="str">
        <f aca="false">IFERROR(INDEX(CONG_VIEC!$C$6:$C$305,MATCH(A26,CONG_VIEC!$X$6:$X$305,0))&amp;"","")</f>
        <v/>
      </c>
      <c r="C26" s="20" t="str">
        <f aca="false">IFERROR(INDEX(CONG_VIEC!$F$6:$F$305,MATCH(A26,CONG_VIEC!$X$6:$X$305,0))&amp;"","")</f>
        <v/>
      </c>
      <c r="D26" s="26" t="str">
        <f aca="false">IFERROR(INDEX(CONG_VIEC!$J$6:$J$305,MATCH(A26,CONG_VIEC!$X$6:$X$305,0)),"")</f>
        <v/>
      </c>
      <c r="E26" s="2"/>
      <c r="F26" s="24" t="n">
        <v>21</v>
      </c>
      <c r="G26" s="25" t="str">
        <f aca="false">IFERROR(INDEX(CONG_VIEC!$C$6:$C$305,MATCH(F26,CONG_VIEC!$Y$6:$Y$305,0))&amp;"","")</f>
        <v/>
      </c>
      <c r="H26" s="20" t="str">
        <f aca="false">IFERROR(INDEX(CONG_VIEC!$F$6:$F$305,MATCH(F26,CONG_VIEC!$Y$6:$Y$305,0))&amp;"","")</f>
        <v/>
      </c>
      <c r="I26" s="26" t="str">
        <f aca="false">IFERROR(INDEX(CONG_VIEC!$J$6:$J$305,MATCH(F26,CONG_VIEC!$Y$6:$Y$305,0)),"")</f>
        <v/>
      </c>
    </row>
    <row r="27" customFormat="false" ht="15" hidden="false" customHeight="false" outlineLevel="0" collapsed="false">
      <c r="A27" s="24" t="n">
        <v>22</v>
      </c>
      <c r="B27" s="25" t="str">
        <f aca="false">IFERROR(INDEX(CONG_VIEC!$C$6:$C$305,MATCH(A27,CONG_VIEC!$X$6:$X$305,0))&amp;"","")</f>
        <v/>
      </c>
      <c r="C27" s="20" t="str">
        <f aca="false">IFERROR(INDEX(CONG_VIEC!$F$6:$F$305,MATCH(A27,CONG_VIEC!$X$6:$X$305,0))&amp;"","")</f>
        <v/>
      </c>
      <c r="D27" s="26" t="str">
        <f aca="false">IFERROR(INDEX(CONG_VIEC!$J$6:$J$305,MATCH(A27,CONG_VIEC!$X$6:$X$305,0)),"")</f>
        <v/>
      </c>
      <c r="E27" s="2"/>
      <c r="F27" s="24" t="n">
        <v>22</v>
      </c>
      <c r="G27" s="25" t="str">
        <f aca="false">IFERROR(INDEX(CONG_VIEC!$C$6:$C$305,MATCH(F27,CONG_VIEC!$Y$6:$Y$305,0))&amp;"","")</f>
        <v/>
      </c>
      <c r="H27" s="20" t="str">
        <f aca="false">IFERROR(INDEX(CONG_VIEC!$F$6:$F$305,MATCH(F27,CONG_VIEC!$Y$6:$Y$305,0))&amp;"","")</f>
        <v/>
      </c>
      <c r="I27" s="26" t="str">
        <f aca="false">IFERROR(INDEX(CONG_VIEC!$J$6:$J$305,MATCH(F27,CONG_VIEC!$Y$6:$Y$305,0)),"")</f>
        <v/>
      </c>
    </row>
    <row r="28" customFormat="false" ht="15" hidden="false" customHeight="false" outlineLevel="0" collapsed="false">
      <c r="A28" s="24" t="n">
        <v>23</v>
      </c>
      <c r="B28" s="25" t="str">
        <f aca="false">IFERROR(INDEX(CONG_VIEC!$C$6:$C$305,MATCH(A28,CONG_VIEC!$X$6:$X$305,0))&amp;"","")</f>
        <v/>
      </c>
      <c r="C28" s="20" t="str">
        <f aca="false">IFERROR(INDEX(CONG_VIEC!$F$6:$F$305,MATCH(A28,CONG_VIEC!$X$6:$X$305,0))&amp;"","")</f>
        <v/>
      </c>
      <c r="D28" s="26" t="str">
        <f aca="false">IFERROR(INDEX(CONG_VIEC!$J$6:$J$305,MATCH(A28,CONG_VIEC!$X$6:$X$305,0)),"")</f>
        <v/>
      </c>
      <c r="E28" s="2"/>
      <c r="F28" s="24" t="n">
        <v>23</v>
      </c>
      <c r="G28" s="25" t="str">
        <f aca="false">IFERROR(INDEX(CONG_VIEC!$C$6:$C$305,MATCH(F28,CONG_VIEC!$Y$6:$Y$305,0))&amp;"","")</f>
        <v/>
      </c>
      <c r="H28" s="20" t="str">
        <f aca="false">IFERROR(INDEX(CONG_VIEC!$F$6:$F$305,MATCH(F28,CONG_VIEC!$Y$6:$Y$305,0))&amp;"","")</f>
        <v/>
      </c>
      <c r="I28" s="26" t="str">
        <f aca="false">IFERROR(INDEX(CONG_VIEC!$J$6:$J$305,MATCH(F28,CONG_VIEC!$Y$6:$Y$305,0)),"")</f>
        <v/>
      </c>
    </row>
    <row r="29" customFormat="false" ht="15" hidden="false" customHeight="false" outlineLevel="0" collapsed="false">
      <c r="A29" s="24" t="n">
        <v>24</v>
      </c>
      <c r="B29" s="25" t="str">
        <f aca="false">IFERROR(INDEX(CONG_VIEC!$C$6:$C$305,MATCH(A29,CONG_VIEC!$X$6:$X$305,0))&amp;"","")</f>
        <v/>
      </c>
      <c r="C29" s="20" t="str">
        <f aca="false">IFERROR(INDEX(CONG_VIEC!$F$6:$F$305,MATCH(A29,CONG_VIEC!$X$6:$X$305,0))&amp;"","")</f>
        <v/>
      </c>
      <c r="D29" s="26" t="str">
        <f aca="false">IFERROR(INDEX(CONG_VIEC!$J$6:$J$305,MATCH(A29,CONG_VIEC!$X$6:$X$305,0)),"")</f>
        <v/>
      </c>
      <c r="E29" s="2"/>
      <c r="F29" s="24" t="n">
        <v>24</v>
      </c>
      <c r="G29" s="25" t="str">
        <f aca="false">IFERROR(INDEX(CONG_VIEC!$C$6:$C$305,MATCH(F29,CONG_VIEC!$Y$6:$Y$305,0))&amp;"","")</f>
        <v/>
      </c>
      <c r="H29" s="20" t="str">
        <f aca="false">IFERROR(INDEX(CONG_VIEC!$F$6:$F$305,MATCH(F29,CONG_VIEC!$Y$6:$Y$305,0))&amp;"","")</f>
        <v/>
      </c>
      <c r="I29" s="26" t="str">
        <f aca="false">IFERROR(INDEX(CONG_VIEC!$J$6:$J$305,MATCH(F29,CONG_VIEC!$Y$6:$Y$305,0)),"")</f>
        <v/>
      </c>
    </row>
    <row r="30" customFormat="false" ht="15" hidden="false" customHeight="false" outlineLevel="0" collapsed="false">
      <c r="A30" s="24" t="n">
        <v>25</v>
      </c>
      <c r="B30" s="25" t="str">
        <f aca="false">IFERROR(INDEX(CONG_VIEC!$C$6:$C$305,MATCH(A30,CONG_VIEC!$X$6:$X$305,0))&amp;"","")</f>
        <v/>
      </c>
      <c r="C30" s="20" t="str">
        <f aca="false">IFERROR(INDEX(CONG_VIEC!$F$6:$F$305,MATCH(A30,CONG_VIEC!$X$6:$X$305,0))&amp;"","")</f>
        <v/>
      </c>
      <c r="D30" s="26" t="str">
        <f aca="false">IFERROR(INDEX(CONG_VIEC!$J$6:$J$305,MATCH(A30,CONG_VIEC!$X$6:$X$305,0)),"")</f>
        <v/>
      </c>
      <c r="E30" s="2"/>
      <c r="F30" s="24" t="n">
        <v>25</v>
      </c>
      <c r="G30" s="25" t="str">
        <f aca="false">IFERROR(INDEX(CONG_VIEC!$C$6:$C$305,MATCH(F30,CONG_VIEC!$Y$6:$Y$305,0))&amp;"","")</f>
        <v/>
      </c>
      <c r="H30" s="20" t="str">
        <f aca="false">IFERROR(INDEX(CONG_VIEC!$F$6:$F$305,MATCH(F30,CONG_VIEC!$Y$6:$Y$305,0))&amp;"","")</f>
        <v/>
      </c>
      <c r="I30" s="26" t="str">
        <f aca="false">IFERROR(INDEX(CONG_VIEC!$J$6:$J$305,MATCH(F30,CONG_VIEC!$Y$6:$Y$305,0)),"")</f>
        <v/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9" t="str">
        <f aca="false">"3. GIAO LẠI ("&amp;COUNT(CONG_VIEC!$Z$6:$Z$305)&amp;")"</f>
        <v>3. GIAO LẠI (1)</v>
      </c>
      <c r="B32" s="29"/>
      <c r="C32" s="29"/>
      <c r="D32" s="29"/>
      <c r="E32" s="2"/>
      <c r="F32" s="30" t="str">
        <f aca="false">"4. ĐỂ SAU ("&amp;COUNT(CONG_VIEC!$AA$6:$AA$305)&amp;")"</f>
        <v>4. ĐỂ SAU (0)</v>
      </c>
      <c r="G32" s="30"/>
      <c r="H32" s="30"/>
      <c r="I32" s="30"/>
    </row>
    <row r="33" customFormat="false" ht="15" hidden="false" customHeight="false" outlineLevel="0" collapsed="false">
      <c r="A33" s="8" t="s">
        <v>70</v>
      </c>
      <c r="B33" s="6" t="s">
        <v>6</v>
      </c>
      <c r="C33" s="6" t="s">
        <v>76</v>
      </c>
      <c r="D33" s="6" t="s">
        <v>72</v>
      </c>
      <c r="E33" s="2"/>
      <c r="F33" s="8" t="s">
        <v>70</v>
      </c>
      <c r="G33" s="6" t="s">
        <v>6</v>
      </c>
      <c r="H33" s="6" t="s">
        <v>76</v>
      </c>
      <c r="I33" s="6" t="s">
        <v>72</v>
      </c>
    </row>
    <row r="34" customFormat="false" ht="15" hidden="false" customHeight="false" outlineLevel="0" collapsed="false">
      <c r="A34" s="24" t="n">
        <v>1</v>
      </c>
      <c r="B34" s="25" t="str">
        <f aca="false">IFERROR(INDEX(CONG_VIEC!$C$6:$C$305,MATCH(A34,CONG_VIEC!$Z$6:$Z$305,0))&amp;"","")</f>
        <v>[VÍ DỤ] Sửa nắp hố ga bị vỡ theo phản ánh</v>
      </c>
      <c r="C34" s="20" t="str">
        <f aca="false">IFERROR(INDEX(CONG_VIEC!$F$6:$F$305,MATCH(A34,CONG_VIEC!$Z$6:$Z$305,0))&amp;"","")</f>
        <v>Người 3 (sửa tên)</v>
      </c>
      <c r="D34" s="26" t="n">
        <f aca="false">IFERROR(INDEX(CONG_VIEC!$J$6:$J$305,MATCH(A34,CONG_VIEC!$Z$6:$Z$305,0)),"")</f>
        <v>46290</v>
      </c>
      <c r="E34" s="2"/>
      <c r="F34" s="24" t="n">
        <v>1</v>
      </c>
      <c r="G34" s="25" t="str">
        <f aca="false">IFERROR(INDEX(CONG_VIEC!$C$6:$C$305,MATCH(F34,CONG_VIEC!$AA$6:$AA$305,0))&amp;"","")</f>
        <v/>
      </c>
      <c r="H34" s="20" t="str">
        <f aca="false">IFERROR(INDEX(CONG_VIEC!$F$6:$F$305,MATCH(F34,CONG_VIEC!$AA$6:$AA$305,0))&amp;"","")</f>
        <v/>
      </c>
      <c r="I34" s="26" t="str">
        <f aca="false">IFERROR(INDEX(CONG_VIEC!$J$6:$J$305,MATCH(F34,CONG_VIEC!$AA$6:$AA$305,0)),"")</f>
        <v/>
      </c>
    </row>
    <row r="35" customFormat="false" ht="15" hidden="false" customHeight="false" outlineLevel="0" collapsed="false">
      <c r="A35" s="24" t="n">
        <v>2</v>
      </c>
      <c r="B35" s="25" t="str">
        <f aca="false">IFERROR(INDEX(CONG_VIEC!$C$6:$C$305,MATCH(A35,CONG_VIEC!$Z$6:$Z$305,0))&amp;"","")</f>
        <v/>
      </c>
      <c r="C35" s="20" t="str">
        <f aca="false">IFERROR(INDEX(CONG_VIEC!$F$6:$F$305,MATCH(A35,CONG_VIEC!$Z$6:$Z$305,0))&amp;"","")</f>
        <v/>
      </c>
      <c r="D35" s="26" t="str">
        <f aca="false">IFERROR(INDEX(CONG_VIEC!$J$6:$J$305,MATCH(A35,CONG_VIEC!$Z$6:$Z$305,0)),"")</f>
        <v/>
      </c>
      <c r="E35" s="2"/>
      <c r="F35" s="24" t="n">
        <v>2</v>
      </c>
      <c r="G35" s="25" t="str">
        <f aca="false">IFERROR(INDEX(CONG_VIEC!$C$6:$C$305,MATCH(F35,CONG_VIEC!$AA$6:$AA$305,0))&amp;"","")</f>
        <v/>
      </c>
      <c r="H35" s="20" t="str">
        <f aca="false">IFERROR(INDEX(CONG_VIEC!$F$6:$F$305,MATCH(F35,CONG_VIEC!$AA$6:$AA$305,0))&amp;"","")</f>
        <v/>
      </c>
      <c r="I35" s="26" t="str">
        <f aca="false">IFERROR(INDEX(CONG_VIEC!$J$6:$J$305,MATCH(F35,CONG_VIEC!$AA$6:$AA$305,0)),"")</f>
        <v/>
      </c>
    </row>
    <row r="36" customFormat="false" ht="15" hidden="false" customHeight="false" outlineLevel="0" collapsed="false">
      <c r="A36" s="24" t="n">
        <v>3</v>
      </c>
      <c r="B36" s="25" t="str">
        <f aca="false">IFERROR(INDEX(CONG_VIEC!$C$6:$C$305,MATCH(A36,CONG_VIEC!$Z$6:$Z$305,0))&amp;"","")</f>
        <v/>
      </c>
      <c r="C36" s="20" t="str">
        <f aca="false">IFERROR(INDEX(CONG_VIEC!$F$6:$F$305,MATCH(A36,CONG_VIEC!$Z$6:$Z$305,0))&amp;"","")</f>
        <v/>
      </c>
      <c r="D36" s="26" t="str">
        <f aca="false">IFERROR(INDEX(CONG_VIEC!$J$6:$J$305,MATCH(A36,CONG_VIEC!$Z$6:$Z$305,0)),"")</f>
        <v/>
      </c>
      <c r="E36" s="2"/>
      <c r="F36" s="24" t="n">
        <v>3</v>
      </c>
      <c r="G36" s="25" t="str">
        <f aca="false">IFERROR(INDEX(CONG_VIEC!$C$6:$C$305,MATCH(F36,CONG_VIEC!$AA$6:$AA$305,0))&amp;"","")</f>
        <v/>
      </c>
      <c r="H36" s="20" t="str">
        <f aca="false">IFERROR(INDEX(CONG_VIEC!$F$6:$F$305,MATCH(F36,CONG_VIEC!$AA$6:$AA$305,0))&amp;"","")</f>
        <v/>
      </c>
      <c r="I36" s="26" t="str">
        <f aca="false">IFERROR(INDEX(CONG_VIEC!$J$6:$J$305,MATCH(F36,CONG_VIEC!$AA$6:$AA$305,0)),"")</f>
        <v/>
      </c>
    </row>
    <row r="37" customFormat="false" ht="15" hidden="false" customHeight="false" outlineLevel="0" collapsed="false">
      <c r="A37" s="24" t="n">
        <v>4</v>
      </c>
      <c r="B37" s="25" t="str">
        <f aca="false">IFERROR(INDEX(CONG_VIEC!$C$6:$C$305,MATCH(A37,CONG_VIEC!$Z$6:$Z$305,0))&amp;"","")</f>
        <v/>
      </c>
      <c r="C37" s="20" t="str">
        <f aca="false">IFERROR(INDEX(CONG_VIEC!$F$6:$F$305,MATCH(A37,CONG_VIEC!$Z$6:$Z$305,0))&amp;"","")</f>
        <v/>
      </c>
      <c r="D37" s="26" t="str">
        <f aca="false">IFERROR(INDEX(CONG_VIEC!$J$6:$J$305,MATCH(A37,CONG_VIEC!$Z$6:$Z$305,0)),"")</f>
        <v/>
      </c>
      <c r="E37" s="2"/>
      <c r="F37" s="24" t="n">
        <v>4</v>
      </c>
      <c r="G37" s="25" t="str">
        <f aca="false">IFERROR(INDEX(CONG_VIEC!$C$6:$C$305,MATCH(F37,CONG_VIEC!$AA$6:$AA$305,0))&amp;"","")</f>
        <v/>
      </c>
      <c r="H37" s="20" t="str">
        <f aca="false">IFERROR(INDEX(CONG_VIEC!$F$6:$F$305,MATCH(F37,CONG_VIEC!$AA$6:$AA$305,0))&amp;"","")</f>
        <v/>
      </c>
      <c r="I37" s="26" t="str">
        <f aca="false">IFERROR(INDEX(CONG_VIEC!$J$6:$J$305,MATCH(F37,CONG_VIEC!$AA$6:$AA$305,0)),"")</f>
        <v/>
      </c>
    </row>
    <row r="38" customFormat="false" ht="15" hidden="false" customHeight="false" outlineLevel="0" collapsed="false">
      <c r="A38" s="24" t="n">
        <v>5</v>
      </c>
      <c r="B38" s="25" t="str">
        <f aca="false">IFERROR(INDEX(CONG_VIEC!$C$6:$C$305,MATCH(A38,CONG_VIEC!$Z$6:$Z$305,0))&amp;"","")</f>
        <v/>
      </c>
      <c r="C38" s="20" t="str">
        <f aca="false">IFERROR(INDEX(CONG_VIEC!$F$6:$F$305,MATCH(A38,CONG_VIEC!$Z$6:$Z$305,0))&amp;"","")</f>
        <v/>
      </c>
      <c r="D38" s="26" t="str">
        <f aca="false">IFERROR(INDEX(CONG_VIEC!$J$6:$J$305,MATCH(A38,CONG_VIEC!$Z$6:$Z$305,0)),"")</f>
        <v/>
      </c>
      <c r="E38" s="2"/>
      <c r="F38" s="24" t="n">
        <v>5</v>
      </c>
      <c r="G38" s="25" t="str">
        <f aca="false">IFERROR(INDEX(CONG_VIEC!$C$6:$C$305,MATCH(F38,CONG_VIEC!$AA$6:$AA$305,0))&amp;"","")</f>
        <v/>
      </c>
      <c r="H38" s="20" t="str">
        <f aca="false">IFERROR(INDEX(CONG_VIEC!$F$6:$F$305,MATCH(F38,CONG_VIEC!$AA$6:$AA$305,0))&amp;"","")</f>
        <v/>
      </c>
      <c r="I38" s="26" t="str">
        <f aca="false">IFERROR(INDEX(CONG_VIEC!$J$6:$J$305,MATCH(F38,CONG_VIEC!$AA$6:$AA$305,0)),"")</f>
        <v/>
      </c>
    </row>
    <row r="39" customFormat="false" ht="15" hidden="false" customHeight="false" outlineLevel="0" collapsed="false">
      <c r="A39" s="24" t="n">
        <v>6</v>
      </c>
      <c r="B39" s="25" t="str">
        <f aca="false">IFERROR(INDEX(CONG_VIEC!$C$6:$C$305,MATCH(A39,CONG_VIEC!$Z$6:$Z$305,0))&amp;"","")</f>
        <v/>
      </c>
      <c r="C39" s="20" t="str">
        <f aca="false">IFERROR(INDEX(CONG_VIEC!$F$6:$F$305,MATCH(A39,CONG_VIEC!$Z$6:$Z$305,0))&amp;"","")</f>
        <v/>
      </c>
      <c r="D39" s="26" t="str">
        <f aca="false">IFERROR(INDEX(CONG_VIEC!$J$6:$J$305,MATCH(A39,CONG_VIEC!$Z$6:$Z$305,0)),"")</f>
        <v/>
      </c>
      <c r="E39" s="2"/>
      <c r="F39" s="24" t="n">
        <v>6</v>
      </c>
      <c r="G39" s="25" t="str">
        <f aca="false">IFERROR(INDEX(CONG_VIEC!$C$6:$C$305,MATCH(F39,CONG_VIEC!$AA$6:$AA$305,0))&amp;"","")</f>
        <v/>
      </c>
      <c r="H39" s="20" t="str">
        <f aca="false">IFERROR(INDEX(CONG_VIEC!$F$6:$F$305,MATCH(F39,CONG_VIEC!$AA$6:$AA$305,0))&amp;"","")</f>
        <v/>
      </c>
      <c r="I39" s="26" t="str">
        <f aca="false">IFERROR(INDEX(CONG_VIEC!$J$6:$J$305,MATCH(F39,CONG_VIEC!$AA$6:$AA$305,0)),"")</f>
        <v/>
      </c>
    </row>
    <row r="40" customFormat="false" ht="15" hidden="false" customHeight="false" outlineLevel="0" collapsed="false">
      <c r="A40" s="24" t="n">
        <v>7</v>
      </c>
      <c r="B40" s="25" t="str">
        <f aca="false">IFERROR(INDEX(CONG_VIEC!$C$6:$C$305,MATCH(A40,CONG_VIEC!$Z$6:$Z$305,0))&amp;"","")</f>
        <v/>
      </c>
      <c r="C40" s="20" t="str">
        <f aca="false">IFERROR(INDEX(CONG_VIEC!$F$6:$F$305,MATCH(A40,CONG_VIEC!$Z$6:$Z$305,0))&amp;"","")</f>
        <v/>
      </c>
      <c r="D40" s="26" t="str">
        <f aca="false">IFERROR(INDEX(CONG_VIEC!$J$6:$J$305,MATCH(A40,CONG_VIEC!$Z$6:$Z$305,0)),"")</f>
        <v/>
      </c>
      <c r="E40" s="2"/>
      <c r="F40" s="24" t="n">
        <v>7</v>
      </c>
      <c r="G40" s="25" t="str">
        <f aca="false">IFERROR(INDEX(CONG_VIEC!$C$6:$C$305,MATCH(F40,CONG_VIEC!$AA$6:$AA$305,0))&amp;"","")</f>
        <v/>
      </c>
      <c r="H40" s="20" t="str">
        <f aca="false">IFERROR(INDEX(CONG_VIEC!$F$6:$F$305,MATCH(F40,CONG_VIEC!$AA$6:$AA$305,0))&amp;"","")</f>
        <v/>
      </c>
      <c r="I40" s="26" t="str">
        <f aca="false">IFERROR(INDEX(CONG_VIEC!$J$6:$J$305,MATCH(F40,CONG_VIEC!$AA$6:$AA$305,0)),"")</f>
        <v/>
      </c>
    </row>
    <row r="41" customFormat="false" ht="15" hidden="false" customHeight="false" outlineLevel="0" collapsed="false">
      <c r="A41" s="24" t="n">
        <v>8</v>
      </c>
      <c r="B41" s="25" t="str">
        <f aca="false">IFERROR(INDEX(CONG_VIEC!$C$6:$C$305,MATCH(A41,CONG_VIEC!$Z$6:$Z$305,0))&amp;"","")</f>
        <v/>
      </c>
      <c r="C41" s="20" t="str">
        <f aca="false">IFERROR(INDEX(CONG_VIEC!$F$6:$F$305,MATCH(A41,CONG_VIEC!$Z$6:$Z$305,0))&amp;"","")</f>
        <v/>
      </c>
      <c r="D41" s="26" t="str">
        <f aca="false">IFERROR(INDEX(CONG_VIEC!$J$6:$J$305,MATCH(A41,CONG_VIEC!$Z$6:$Z$305,0)),"")</f>
        <v/>
      </c>
      <c r="E41" s="2"/>
      <c r="F41" s="24" t="n">
        <v>8</v>
      </c>
      <c r="G41" s="25" t="str">
        <f aca="false">IFERROR(INDEX(CONG_VIEC!$C$6:$C$305,MATCH(F41,CONG_VIEC!$AA$6:$AA$305,0))&amp;"","")</f>
        <v/>
      </c>
      <c r="H41" s="20" t="str">
        <f aca="false">IFERROR(INDEX(CONG_VIEC!$F$6:$F$305,MATCH(F41,CONG_VIEC!$AA$6:$AA$305,0))&amp;"","")</f>
        <v/>
      </c>
      <c r="I41" s="26" t="str">
        <f aca="false">IFERROR(INDEX(CONG_VIEC!$J$6:$J$305,MATCH(F41,CONG_VIEC!$AA$6:$AA$305,0)),"")</f>
        <v/>
      </c>
    </row>
    <row r="42" customFormat="false" ht="15" hidden="false" customHeight="false" outlineLevel="0" collapsed="false">
      <c r="A42" s="24" t="n">
        <v>9</v>
      </c>
      <c r="B42" s="25" t="str">
        <f aca="false">IFERROR(INDEX(CONG_VIEC!$C$6:$C$305,MATCH(A42,CONG_VIEC!$Z$6:$Z$305,0))&amp;"","")</f>
        <v/>
      </c>
      <c r="C42" s="20" t="str">
        <f aca="false">IFERROR(INDEX(CONG_VIEC!$F$6:$F$305,MATCH(A42,CONG_VIEC!$Z$6:$Z$305,0))&amp;"","")</f>
        <v/>
      </c>
      <c r="D42" s="26" t="str">
        <f aca="false">IFERROR(INDEX(CONG_VIEC!$J$6:$J$305,MATCH(A42,CONG_VIEC!$Z$6:$Z$305,0)),"")</f>
        <v/>
      </c>
      <c r="E42" s="2"/>
      <c r="F42" s="24" t="n">
        <v>9</v>
      </c>
      <c r="G42" s="25" t="str">
        <f aca="false">IFERROR(INDEX(CONG_VIEC!$C$6:$C$305,MATCH(F42,CONG_VIEC!$AA$6:$AA$305,0))&amp;"","")</f>
        <v/>
      </c>
      <c r="H42" s="20" t="str">
        <f aca="false">IFERROR(INDEX(CONG_VIEC!$F$6:$F$305,MATCH(F42,CONG_VIEC!$AA$6:$AA$305,0))&amp;"","")</f>
        <v/>
      </c>
      <c r="I42" s="26" t="str">
        <f aca="false">IFERROR(INDEX(CONG_VIEC!$J$6:$J$305,MATCH(F42,CONG_VIEC!$AA$6:$AA$305,0)),"")</f>
        <v/>
      </c>
    </row>
    <row r="43" customFormat="false" ht="15" hidden="false" customHeight="false" outlineLevel="0" collapsed="false">
      <c r="A43" s="24" t="n">
        <v>10</v>
      </c>
      <c r="B43" s="25" t="str">
        <f aca="false">IFERROR(INDEX(CONG_VIEC!$C$6:$C$305,MATCH(A43,CONG_VIEC!$Z$6:$Z$305,0))&amp;"","")</f>
        <v/>
      </c>
      <c r="C43" s="20" t="str">
        <f aca="false">IFERROR(INDEX(CONG_VIEC!$F$6:$F$305,MATCH(A43,CONG_VIEC!$Z$6:$Z$305,0))&amp;"","")</f>
        <v/>
      </c>
      <c r="D43" s="26" t="str">
        <f aca="false">IFERROR(INDEX(CONG_VIEC!$J$6:$J$305,MATCH(A43,CONG_VIEC!$Z$6:$Z$305,0)),"")</f>
        <v/>
      </c>
      <c r="E43" s="2"/>
      <c r="F43" s="24" t="n">
        <v>10</v>
      </c>
      <c r="G43" s="25" t="str">
        <f aca="false">IFERROR(INDEX(CONG_VIEC!$C$6:$C$305,MATCH(F43,CONG_VIEC!$AA$6:$AA$305,0))&amp;"","")</f>
        <v/>
      </c>
      <c r="H43" s="20" t="str">
        <f aca="false">IFERROR(INDEX(CONG_VIEC!$F$6:$F$305,MATCH(F43,CONG_VIEC!$AA$6:$AA$305,0))&amp;"","")</f>
        <v/>
      </c>
      <c r="I43" s="26" t="str">
        <f aca="false">IFERROR(INDEX(CONG_VIEC!$J$6:$J$305,MATCH(F43,CONG_VIEC!$AA$6:$AA$305,0)),"")</f>
        <v/>
      </c>
    </row>
    <row r="44" customFormat="false" ht="15" hidden="false" customHeight="false" outlineLevel="0" collapsed="false">
      <c r="A44" s="24" t="n">
        <v>11</v>
      </c>
      <c r="B44" s="25" t="str">
        <f aca="false">IFERROR(INDEX(CONG_VIEC!$C$6:$C$305,MATCH(A44,CONG_VIEC!$Z$6:$Z$305,0))&amp;"","")</f>
        <v/>
      </c>
      <c r="C44" s="20" t="str">
        <f aca="false">IFERROR(INDEX(CONG_VIEC!$F$6:$F$305,MATCH(A44,CONG_VIEC!$Z$6:$Z$305,0))&amp;"","")</f>
        <v/>
      </c>
      <c r="D44" s="26" t="str">
        <f aca="false">IFERROR(INDEX(CONG_VIEC!$J$6:$J$305,MATCH(A44,CONG_VIEC!$Z$6:$Z$305,0)),"")</f>
        <v/>
      </c>
      <c r="E44" s="2"/>
      <c r="F44" s="24" t="n">
        <v>11</v>
      </c>
      <c r="G44" s="25" t="str">
        <f aca="false">IFERROR(INDEX(CONG_VIEC!$C$6:$C$305,MATCH(F44,CONG_VIEC!$AA$6:$AA$305,0))&amp;"","")</f>
        <v/>
      </c>
      <c r="H44" s="20" t="str">
        <f aca="false">IFERROR(INDEX(CONG_VIEC!$F$6:$F$305,MATCH(F44,CONG_VIEC!$AA$6:$AA$305,0))&amp;"","")</f>
        <v/>
      </c>
      <c r="I44" s="26" t="str">
        <f aca="false">IFERROR(INDEX(CONG_VIEC!$J$6:$J$305,MATCH(F44,CONG_VIEC!$AA$6:$AA$305,0)),"")</f>
        <v/>
      </c>
    </row>
    <row r="45" customFormat="false" ht="15" hidden="false" customHeight="false" outlineLevel="0" collapsed="false">
      <c r="A45" s="24" t="n">
        <v>12</v>
      </c>
      <c r="B45" s="25" t="str">
        <f aca="false">IFERROR(INDEX(CONG_VIEC!$C$6:$C$305,MATCH(A45,CONG_VIEC!$Z$6:$Z$305,0))&amp;"","")</f>
        <v/>
      </c>
      <c r="C45" s="20" t="str">
        <f aca="false">IFERROR(INDEX(CONG_VIEC!$F$6:$F$305,MATCH(A45,CONG_VIEC!$Z$6:$Z$305,0))&amp;"","")</f>
        <v/>
      </c>
      <c r="D45" s="26" t="str">
        <f aca="false">IFERROR(INDEX(CONG_VIEC!$J$6:$J$305,MATCH(A45,CONG_VIEC!$Z$6:$Z$305,0)),"")</f>
        <v/>
      </c>
      <c r="E45" s="2"/>
      <c r="F45" s="24" t="n">
        <v>12</v>
      </c>
      <c r="G45" s="25" t="str">
        <f aca="false">IFERROR(INDEX(CONG_VIEC!$C$6:$C$305,MATCH(F45,CONG_VIEC!$AA$6:$AA$305,0))&amp;"","")</f>
        <v/>
      </c>
      <c r="H45" s="20" t="str">
        <f aca="false">IFERROR(INDEX(CONG_VIEC!$F$6:$F$305,MATCH(F45,CONG_VIEC!$AA$6:$AA$305,0))&amp;"","")</f>
        <v/>
      </c>
      <c r="I45" s="26" t="str">
        <f aca="false">IFERROR(INDEX(CONG_VIEC!$J$6:$J$305,MATCH(F45,CONG_VIEC!$AA$6:$AA$305,0)),"")</f>
        <v/>
      </c>
    </row>
    <row r="46" customFormat="false" ht="15" hidden="false" customHeight="false" outlineLevel="0" collapsed="false">
      <c r="A46" s="24" t="n">
        <v>13</v>
      </c>
      <c r="B46" s="25" t="str">
        <f aca="false">IFERROR(INDEX(CONG_VIEC!$C$6:$C$305,MATCH(A46,CONG_VIEC!$Z$6:$Z$305,0))&amp;"","")</f>
        <v/>
      </c>
      <c r="C46" s="20" t="str">
        <f aca="false">IFERROR(INDEX(CONG_VIEC!$F$6:$F$305,MATCH(A46,CONG_VIEC!$Z$6:$Z$305,0))&amp;"","")</f>
        <v/>
      </c>
      <c r="D46" s="26" t="str">
        <f aca="false">IFERROR(INDEX(CONG_VIEC!$J$6:$J$305,MATCH(A46,CONG_VIEC!$Z$6:$Z$305,0)),"")</f>
        <v/>
      </c>
      <c r="E46" s="2"/>
      <c r="F46" s="24" t="n">
        <v>13</v>
      </c>
      <c r="G46" s="25" t="str">
        <f aca="false">IFERROR(INDEX(CONG_VIEC!$C$6:$C$305,MATCH(F46,CONG_VIEC!$AA$6:$AA$305,0))&amp;"","")</f>
        <v/>
      </c>
      <c r="H46" s="20" t="str">
        <f aca="false">IFERROR(INDEX(CONG_VIEC!$F$6:$F$305,MATCH(F46,CONG_VIEC!$AA$6:$AA$305,0))&amp;"","")</f>
        <v/>
      </c>
      <c r="I46" s="26" t="str">
        <f aca="false">IFERROR(INDEX(CONG_VIEC!$J$6:$J$305,MATCH(F46,CONG_VIEC!$AA$6:$AA$305,0)),"")</f>
        <v/>
      </c>
    </row>
    <row r="47" customFormat="false" ht="15" hidden="false" customHeight="false" outlineLevel="0" collapsed="false">
      <c r="A47" s="24" t="n">
        <v>14</v>
      </c>
      <c r="B47" s="25" t="str">
        <f aca="false">IFERROR(INDEX(CONG_VIEC!$C$6:$C$305,MATCH(A47,CONG_VIEC!$Z$6:$Z$305,0))&amp;"","")</f>
        <v/>
      </c>
      <c r="C47" s="20" t="str">
        <f aca="false">IFERROR(INDEX(CONG_VIEC!$F$6:$F$305,MATCH(A47,CONG_VIEC!$Z$6:$Z$305,0))&amp;"","")</f>
        <v/>
      </c>
      <c r="D47" s="26" t="str">
        <f aca="false">IFERROR(INDEX(CONG_VIEC!$J$6:$J$305,MATCH(A47,CONG_VIEC!$Z$6:$Z$305,0)),"")</f>
        <v/>
      </c>
      <c r="E47" s="2"/>
      <c r="F47" s="24" t="n">
        <v>14</v>
      </c>
      <c r="G47" s="25" t="str">
        <f aca="false">IFERROR(INDEX(CONG_VIEC!$C$6:$C$305,MATCH(F47,CONG_VIEC!$AA$6:$AA$305,0))&amp;"","")</f>
        <v/>
      </c>
      <c r="H47" s="20" t="str">
        <f aca="false">IFERROR(INDEX(CONG_VIEC!$F$6:$F$305,MATCH(F47,CONG_VIEC!$AA$6:$AA$305,0))&amp;"","")</f>
        <v/>
      </c>
      <c r="I47" s="26" t="str">
        <f aca="false">IFERROR(INDEX(CONG_VIEC!$J$6:$J$305,MATCH(F47,CONG_VIEC!$AA$6:$AA$305,0)),"")</f>
        <v/>
      </c>
    </row>
    <row r="48" customFormat="false" ht="15" hidden="false" customHeight="false" outlineLevel="0" collapsed="false">
      <c r="A48" s="24" t="n">
        <v>15</v>
      </c>
      <c r="B48" s="25" t="str">
        <f aca="false">IFERROR(INDEX(CONG_VIEC!$C$6:$C$305,MATCH(A48,CONG_VIEC!$Z$6:$Z$305,0))&amp;"","")</f>
        <v/>
      </c>
      <c r="C48" s="20" t="str">
        <f aca="false">IFERROR(INDEX(CONG_VIEC!$F$6:$F$305,MATCH(A48,CONG_VIEC!$Z$6:$Z$305,0))&amp;"","")</f>
        <v/>
      </c>
      <c r="D48" s="26" t="str">
        <f aca="false">IFERROR(INDEX(CONG_VIEC!$J$6:$J$305,MATCH(A48,CONG_VIEC!$Z$6:$Z$305,0)),"")</f>
        <v/>
      </c>
      <c r="E48" s="2"/>
      <c r="F48" s="24" t="n">
        <v>15</v>
      </c>
      <c r="G48" s="25" t="str">
        <f aca="false">IFERROR(INDEX(CONG_VIEC!$C$6:$C$305,MATCH(F48,CONG_VIEC!$AA$6:$AA$305,0))&amp;"","")</f>
        <v/>
      </c>
      <c r="H48" s="20" t="str">
        <f aca="false">IFERROR(INDEX(CONG_VIEC!$F$6:$F$305,MATCH(F48,CONG_VIEC!$AA$6:$AA$305,0))&amp;"","")</f>
        <v/>
      </c>
      <c r="I48" s="26" t="str">
        <f aca="false">IFERROR(INDEX(CONG_VIEC!$J$6:$J$305,MATCH(F48,CONG_VIEC!$AA$6:$AA$305,0)),"")</f>
        <v/>
      </c>
    </row>
    <row r="49" customFormat="false" ht="15" hidden="false" customHeight="false" outlineLevel="0" collapsed="false">
      <c r="A49" s="24" t="n">
        <v>16</v>
      </c>
      <c r="B49" s="25" t="str">
        <f aca="false">IFERROR(INDEX(CONG_VIEC!$C$6:$C$305,MATCH(A49,CONG_VIEC!$Z$6:$Z$305,0))&amp;"","")</f>
        <v/>
      </c>
      <c r="C49" s="20" t="str">
        <f aca="false">IFERROR(INDEX(CONG_VIEC!$F$6:$F$305,MATCH(A49,CONG_VIEC!$Z$6:$Z$305,0))&amp;"","")</f>
        <v/>
      </c>
      <c r="D49" s="26" t="str">
        <f aca="false">IFERROR(INDEX(CONG_VIEC!$J$6:$J$305,MATCH(A49,CONG_VIEC!$Z$6:$Z$305,0)),"")</f>
        <v/>
      </c>
      <c r="E49" s="2"/>
      <c r="F49" s="24" t="n">
        <v>16</v>
      </c>
      <c r="G49" s="25" t="str">
        <f aca="false">IFERROR(INDEX(CONG_VIEC!$C$6:$C$305,MATCH(F49,CONG_VIEC!$AA$6:$AA$305,0))&amp;"","")</f>
        <v/>
      </c>
      <c r="H49" s="20" t="str">
        <f aca="false">IFERROR(INDEX(CONG_VIEC!$F$6:$F$305,MATCH(F49,CONG_VIEC!$AA$6:$AA$305,0))&amp;"","")</f>
        <v/>
      </c>
      <c r="I49" s="26" t="str">
        <f aca="false">IFERROR(INDEX(CONG_VIEC!$J$6:$J$305,MATCH(F49,CONG_VIEC!$AA$6:$AA$305,0)),"")</f>
        <v/>
      </c>
    </row>
    <row r="50" customFormat="false" ht="15" hidden="false" customHeight="false" outlineLevel="0" collapsed="false">
      <c r="A50" s="24" t="n">
        <v>17</v>
      </c>
      <c r="B50" s="25" t="str">
        <f aca="false">IFERROR(INDEX(CONG_VIEC!$C$6:$C$305,MATCH(A50,CONG_VIEC!$Z$6:$Z$305,0))&amp;"","")</f>
        <v/>
      </c>
      <c r="C50" s="20" t="str">
        <f aca="false">IFERROR(INDEX(CONG_VIEC!$F$6:$F$305,MATCH(A50,CONG_VIEC!$Z$6:$Z$305,0))&amp;"","")</f>
        <v/>
      </c>
      <c r="D50" s="26" t="str">
        <f aca="false">IFERROR(INDEX(CONG_VIEC!$J$6:$J$305,MATCH(A50,CONG_VIEC!$Z$6:$Z$305,0)),"")</f>
        <v/>
      </c>
      <c r="E50" s="2"/>
      <c r="F50" s="24" t="n">
        <v>17</v>
      </c>
      <c r="G50" s="25" t="str">
        <f aca="false">IFERROR(INDEX(CONG_VIEC!$C$6:$C$305,MATCH(F50,CONG_VIEC!$AA$6:$AA$305,0))&amp;"","")</f>
        <v/>
      </c>
      <c r="H50" s="20" t="str">
        <f aca="false">IFERROR(INDEX(CONG_VIEC!$F$6:$F$305,MATCH(F50,CONG_VIEC!$AA$6:$AA$305,0))&amp;"","")</f>
        <v/>
      </c>
      <c r="I50" s="26" t="str">
        <f aca="false">IFERROR(INDEX(CONG_VIEC!$J$6:$J$305,MATCH(F50,CONG_VIEC!$AA$6:$AA$305,0)),"")</f>
        <v/>
      </c>
    </row>
    <row r="51" customFormat="false" ht="15" hidden="false" customHeight="false" outlineLevel="0" collapsed="false">
      <c r="A51" s="24" t="n">
        <v>18</v>
      </c>
      <c r="B51" s="25" t="str">
        <f aca="false">IFERROR(INDEX(CONG_VIEC!$C$6:$C$305,MATCH(A51,CONG_VIEC!$Z$6:$Z$305,0))&amp;"","")</f>
        <v/>
      </c>
      <c r="C51" s="20" t="str">
        <f aca="false">IFERROR(INDEX(CONG_VIEC!$F$6:$F$305,MATCH(A51,CONG_VIEC!$Z$6:$Z$305,0))&amp;"","")</f>
        <v/>
      </c>
      <c r="D51" s="26" t="str">
        <f aca="false">IFERROR(INDEX(CONG_VIEC!$J$6:$J$305,MATCH(A51,CONG_VIEC!$Z$6:$Z$305,0)),"")</f>
        <v/>
      </c>
      <c r="E51" s="2"/>
      <c r="F51" s="24" t="n">
        <v>18</v>
      </c>
      <c r="G51" s="25" t="str">
        <f aca="false">IFERROR(INDEX(CONG_VIEC!$C$6:$C$305,MATCH(F51,CONG_VIEC!$AA$6:$AA$305,0))&amp;"","")</f>
        <v/>
      </c>
      <c r="H51" s="20" t="str">
        <f aca="false">IFERROR(INDEX(CONG_VIEC!$F$6:$F$305,MATCH(F51,CONG_VIEC!$AA$6:$AA$305,0))&amp;"","")</f>
        <v/>
      </c>
      <c r="I51" s="26" t="str">
        <f aca="false">IFERROR(INDEX(CONG_VIEC!$J$6:$J$305,MATCH(F51,CONG_VIEC!$AA$6:$AA$305,0)),"")</f>
        <v/>
      </c>
    </row>
    <row r="52" customFormat="false" ht="15" hidden="false" customHeight="false" outlineLevel="0" collapsed="false">
      <c r="A52" s="24" t="n">
        <v>19</v>
      </c>
      <c r="B52" s="25" t="str">
        <f aca="false">IFERROR(INDEX(CONG_VIEC!$C$6:$C$305,MATCH(A52,CONG_VIEC!$Z$6:$Z$305,0))&amp;"","")</f>
        <v/>
      </c>
      <c r="C52" s="20" t="str">
        <f aca="false">IFERROR(INDEX(CONG_VIEC!$F$6:$F$305,MATCH(A52,CONG_VIEC!$Z$6:$Z$305,0))&amp;"","")</f>
        <v/>
      </c>
      <c r="D52" s="26" t="str">
        <f aca="false">IFERROR(INDEX(CONG_VIEC!$J$6:$J$305,MATCH(A52,CONG_VIEC!$Z$6:$Z$305,0)),"")</f>
        <v/>
      </c>
      <c r="E52" s="2"/>
      <c r="F52" s="24" t="n">
        <v>19</v>
      </c>
      <c r="G52" s="25" t="str">
        <f aca="false">IFERROR(INDEX(CONG_VIEC!$C$6:$C$305,MATCH(F52,CONG_VIEC!$AA$6:$AA$305,0))&amp;"","")</f>
        <v/>
      </c>
      <c r="H52" s="20" t="str">
        <f aca="false">IFERROR(INDEX(CONG_VIEC!$F$6:$F$305,MATCH(F52,CONG_VIEC!$AA$6:$AA$305,0))&amp;"","")</f>
        <v/>
      </c>
      <c r="I52" s="26" t="str">
        <f aca="false">IFERROR(INDEX(CONG_VIEC!$J$6:$J$305,MATCH(F52,CONG_VIEC!$AA$6:$AA$305,0)),"")</f>
        <v/>
      </c>
    </row>
    <row r="53" customFormat="false" ht="15" hidden="false" customHeight="false" outlineLevel="0" collapsed="false">
      <c r="A53" s="24" t="n">
        <v>20</v>
      </c>
      <c r="B53" s="25" t="str">
        <f aca="false">IFERROR(INDEX(CONG_VIEC!$C$6:$C$305,MATCH(A53,CONG_VIEC!$Z$6:$Z$305,0))&amp;"","")</f>
        <v/>
      </c>
      <c r="C53" s="20" t="str">
        <f aca="false">IFERROR(INDEX(CONG_VIEC!$F$6:$F$305,MATCH(A53,CONG_VIEC!$Z$6:$Z$305,0))&amp;"","")</f>
        <v/>
      </c>
      <c r="D53" s="26" t="str">
        <f aca="false">IFERROR(INDEX(CONG_VIEC!$J$6:$J$305,MATCH(A53,CONG_VIEC!$Z$6:$Z$305,0)),"")</f>
        <v/>
      </c>
      <c r="E53" s="2"/>
      <c r="F53" s="24" t="n">
        <v>20</v>
      </c>
      <c r="G53" s="25" t="str">
        <f aca="false">IFERROR(INDEX(CONG_VIEC!$C$6:$C$305,MATCH(F53,CONG_VIEC!$AA$6:$AA$305,0))&amp;"","")</f>
        <v/>
      </c>
      <c r="H53" s="20" t="str">
        <f aca="false">IFERROR(INDEX(CONG_VIEC!$F$6:$F$305,MATCH(F53,CONG_VIEC!$AA$6:$AA$305,0))&amp;"","")</f>
        <v/>
      </c>
      <c r="I53" s="26" t="str">
        <f aca="false">IFERROR(INDEX(CONG_VIEC!$J$6:$J$305,MATCH(F53,CONG_VIEC!$AA$6:$AA$305,0)),"")</f>
        <v/>
      </c>
    </row>
    <row r="54" customFormat="false" ht="15" hidden="false" customHeight="false" outlineLevel="0" collapsed="false">
      <c r="A54" s="24" t="n">
        <v>21</v>
      </c>
      <c r="B54" s="25" t="str">
        <f aca="false">IFERROR(INDEX(CONG_VIEC!$C$6:$C$305,MATCH(A54,CONG_VIEC!$Z$6:$Z$305,0))&amp;"","")</f>
        <v/>
      </c>
      <c r="C54" s="20" t="str">
        <f aca="false">IFERROR(INDEX(CONG_VIEC!$F$6:$F$305,MATCH(A54,CONG_VIEC!$Z$6:$Z$305,0))&amp;"","")</f>
        <v/>
      </c>
      <c r="D54" s="26" t="str">
        <f aca="false">IFERROR(INDEX(CONG_VIEC!$J$6:$J$305,MATCH(A54,CONG_VIEC!$Z$6:$Z$305,0)),"")</f>
        <v/>
      </c>
      <c r="E54" s="2"/>
      <c r="F54" s="24" t="n">
        <v>21</v>
      </c>
      <c r="G54" s="25" t="str">
        <f aca="false">IFERROR(INDEX(CONG_VIEC!$C$6:$C$305,MATCH(F54,CONG_VIEC!$AA$6:$AA$305,0))&amp;"","")</f>
        <v/>
      </c>
      <c r="H54" s="20" t="str">
        <f aca="false">IFERROR(INDEX(CONG_VIEC!$F$6:$F$305,MATCH(F54,CONG_VIEC!$AA$6:$AA$305,0))&amp;"","")</f>
        <v/>
      </c>
      <c r="I54" s="26" t="str">
        <f aca="false">IFERROR(INDEX(CONG_VIEC!$J$6:$J$305,MATCH(F54,CONG_VIEC!$AA$6:$AA$305,0)),"")</f>
        <v/>
      </c>
    </row>
    <row r="55" customFormat="false" ht="15" hidden="false" customHeight="false" outlineLevel="0" collapsed="false">
      <c r="A55" s="24" t="n">
        <v>22</v>
      </c>
      <c r="B55" s="25" t="str">
        <f aca="false">IFERROR(INDEX(CONG_VIEC!$C$6:$C$305,MATCH(A55,CONG_VIEC!$Z$6:$Z$305,0))&amp;"","")</f>
        <v/>
      </c>
      <c r="C55" s="20" t="str">
        <f aca="false">IFERROR(INDEX(CONG_VIEC!$F$6:$F$305,MATCH(A55,CONG_VIEC!$Z$6:$Z$305,0))&amp;"","")</f>
        <v/>
      </c>
      <c r="D55" s="26" t="str">
        <f aca="false">IFERROR(INDEX(CONG_VIEC!$J$6:$J$305,MATCH(A55,CONG_VIEC!$Z$6:$Z$305,0)),"")</f>
        <v/>
      </c>
      <c r="E55" s="2"/>
      <c r="F55" s="24" t="n">
        <v>22</v>
      </c>
      <c r="G55" s="25" t="str">
        <f aca="false">IFERROR(INDEX(CONG_VIEC!$C$6:$C$305,MATCH(F55,CONG_VIEC!$AA$6:$AA$305,0))&amp;"","")</f>
        <v/>
      </c>
      <c r="H55" s="20" t="str">
        <f aca="false">IFERROR(INDEX(CONG_VIEC!$F$6:$F$305,MATCH(F55,CONG_VIEC!$AA$6:$AA$305,0))&amp;"","")</f>
        <v/>
      </c>
      <c r="I55" s="26" t="str">
        <f aca="false">IFERROR(INDEX(CONG_VIEC!$J$6:$J$305,MATCH(F55,CONG_VIEC!$AA$6:$AA$305,0)),"")</f>
        <v/>
      </c>
    </row>
    <row r="56" customFormat="false" ht="15" hidden="false" customHeight="false" outlineLevel="0" collapsed="false">
      <c r="A56" s="24" t="n">
        <v>23</v>
      </c>
      <c r="B56" s="25" t="str">
        <f aca="false">IFERROR(INDEX(CONG_VIEC!$C$6:$C$305,MATCH(A56,CONG_VIEC!$Z$6:$Z$305,0))&amp;"","")</f>
        <v/>
      </c>
      <c r="C56" s="20" t="str">
        <f aca="false">IFERROR(INDEX(CONG_VIEC!$F$6:$F$305,MATCH(A56,CONG_VIEC!$Z$6:$Z$305,0))&amp;"","")</f>
        <v/>
      </c>
      <c r="D56" s="26" t="str">
        <f aca="false">IFERROR(INDEX(CONG_VIEC!$J$6:$J$305,MATCH(A56,CONG_VIEC!$Z$6:$Z$305,0)),"")</f>
        <v/>
      </c>
      <c r="E56" s="2"/>
      <c r="F56" s="24" t="n">
        <v>23</v>
      </c>
      <c r="G56" s="25" t="str">
        <f aca="false">IFERROR(INDEX(CONG_VIEC!$C$6:$C$305,MATCH(F56,CONG_VIEC!$AA$6:$AA$305,0))&amp;"","")</f>
        <v/>
      </c>
      <c r="H56" s="20" t="str">
        <f aca="false">IFERROR(INDEX(CONG_VIEC!$F$6:$F$305,MATCH(F56,CONG_VIEC!$AA$6:$AA$305,0))&amp;"","")</f>
        <v/>
      </c>
      <c r="I56" s="26" t="str">
        <f aca="false">IFERROR(INDEX(CONG_VIEC!$J$6:$J$305,MATCH(F56,CONG_VIEC!$AA$6:$AA$305,0)),"")</f>
        <v/>
      </c>
    </row>
    <row r="57" customFormat="false" ht="15" hidden="false" customHeight="false" outlineLevel="0" collapsed="false">
      <c r="A57" s="24" t="n">
        <v>24</v>
      </c>
      <c r="B57" s="25" t="str">
        <f aca="false">IFERROR(INDEX(CONG_VIEC!$C$6:$C$305,MATCH(A57,CONG_VIEC!$Z$6:$Z$305,0))&amp;"","")</f>
        <v/>
      </c>
      <c r="C57" s="20" t="str">
        <f aca="false">IFERROR(INDEX(CONG_VIEC!$F$6:$F$305,MATCH(A57,CONG_VIEC!$Z$6:$Z$305,0))&amp;"","")</f>
        <v/>
      </c>
      <c r="D57" s="26" t="str">
        <f aca="false">IFERROR(INDEX(CONG_VIEC!$J$6:$J$305,MATCH(A57,CONG_VIEC!$Z$6:$Z$305,0)),"")</f>
        <v/>
      </c>
      <c r="E57" s="2"/>
      <c r="F57" s="24" t="n">
        <v>24</v>
      </c>
      <c r="G57" s="25" t="str">
        <f aca="false">IFERROR(INDEX(CONG_VIEC!$C$6:$C$305,MATCH(F57,CONG_VIEC!$AA$6:$AA$305,0))&amp;"","")</f>
        <v/>
      </c>
      <c r="H57" s="20" t="str">
        <f aca="false">IFERROR(INDEX(CONG_VIEC!$F$6:$F$305,MATCH(F57,CONG_VIEC!$AA$6:$AA$305,0))&amp;"","")</f>
        <v/>
      </c>
      <c r="I57" s="26" t="str">
        <f aca="false">IFERROR(INDEX(CONG_VIEC!$J$6:$J$305,MATCH(F57,CONG_VIEC!$AA$6:$AA$305,0)),"")</f>
        <v/>
      </c>
    </row>
    <row r="58" customFormat="false" ht="15" hidden="false" customHeight="false" outlineLevel="0" collapsed="false">
      <c r="A58" s="24" t="n">
        <v>25</v>
      </c>
      <c r="B58" s="25" t="str">
        <f aca="false">IFERROR(INDEX(CONG_VIEC!$C$6:$C$305,MATCH(A58,CONG_VIEC!$Z$6:$Z$305,0))&amp;"","")</f>
        <v/>
      </c>
      <c r="C58" s="20" t="str">
        <f aca="false">IFERROR(INDEX(CONG_VIEC!$F$6:$F$305,MATCH(A58,CONG_VIEC!$Z$6:$Z$305,0))&amp;"","")</f>
        <v/>
      </c>
      <c r="D58" s="26" t="str">
        <f aca="false">IFERROR(INDEX(CONG_VIEC!$J$6:$J$305,MATCH(A58,CONG_VIEC!$Z$6:$Z$305,0)),"")</f>
        <v/>
      </c>
      <c r="E58" s="2"/>
      <c r="F58" s="24" t="n">
        <v>25</v>
      </c>
      <c r="G58" s="25" t="str">
        <f aca="false">IFERROR(INDEX(CONG_VIEC!$C$6:$C$305,MATCH(F58,CONG_VIEC!$AA$6:$AA$305,0))&amp;"","")</f>
        <v/>
      </c>
      <c r="H58" s="20" t="str">
        <f aca="false">IFERROR(INDEX(CONG_VIEC!$F$6:$F$305,MATCH(F58,CONG_VIEC!$AA$6:$AA$305,0))&amp;"","")</f>
        <v/>
      </c>
      <c r="I58" s="26" t="str">
        <f aca="false">IFERROR(INDEX(CONG_VIEC!$J$6:$J$305,MATCH(F58,CONG_VIEC!$AA$6:$AA$305,0)),"")</f>
        <v/>
      </c>
    </row>
  </sheetData>
  <mergeCells count="4">
    <mergeCell ref="A4:D4"/>
    <mergeCell ref="F4:I4"/>
    <mergeCell ref="A32:D32"/>
    <mergeCell ref="F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79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13" t="s">
        <v>80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3" t="s">
        <v>81</v>
      </c>
      <c r="B3" s="2"/>
      <c r="C3" s="31" t="n">
        <f aca="true">TODAY()-WEEKDAY(TODAY(),2)+1</f>
        <v>46286</v>
      </c>
      <c r="D3" s="2" t="s">
        <v>82</v>
      </c>
      <c r="E3" s="14" t="n">
        <f aca="false">C3+6</f>
        <v>46292</v>
      </c>
      <c r="F3" s="2"/>
      <c r="G3" s="23" t="str">
        <f aca="false">"Tuần "&amp;WEEKNUM(C3,21)</f>
        <v>Tuần 39</v>
      </c>
      <c r="H3" s="2"/>
    </row>
    <row r="4" customFormat="false" ht="15" hidden="false" customHeight="false" outlineLevel="0" collapsed="false">
      <c r="A4" s="2"/>
      <c r="B4" s="6" t="s">
        <v>83</v>
      </c>
      <c r="C4" s="6" t="s">
        <v>84</v>
      </c>
      <c r="D4" s="6" t="s">
        <v>85</v>
      </c>
      <c r="E4" s="6" t="s">
        <v>86</v>
      </c>
      <c r="F4" s="6" t="s">
        <v>87</v>
      </c>
      <c r="G4" s="6" t="s">
        <v>88</v>
      </c>
      <c r="H4" s="6" t="s">
        <v>89</v>
      </c>
    </row>
    <row r="5" customFormat="false" ht="15" hidden="false" customHeight="false" outlineLevel="0" collapsed="false">
      <c r="A5" s="8" t="s">
        <v>90</v>
      </c>
      <c r="B5" s="32" t="n">
        <f aca="false">$C$3+0</f>
        <v>46286</v>
      </c>
      <c r="C5" s="32" t="n">
        <f aca="false">$C$3+1</f>
        <v>46287</v>
      </c>
      <c r="D5" s="32" t="n">
        <f aca="false">$C$3+2</f>
        <v>46288</v>
      </c>
      <c r="E5" s="32" t="n">
        <f aca="false">$C$3+3</f>
        <v>46289</v>
      </c>
      <c r="F5" s="32" t="n">
        <f aca="false">$C$3+4</f>
        <v>46290</v>
      </c>
      <c r="G5" s="32" t="n">
        <f aca="false">$C$3+5</f>
        <v>46291</v>
      </c>
      <c r="H5" s="32" t="n">
        <f aca="false">$C$3+6</f>
        <v>46292</v>
      </c>
    </row>
    <row r="6" customFormat="false" ht="15" hidden="false" customHeight="false" outlineLevel="0" collapsed="false">
      <c r="A6" s="8" t="s">
        <v>91</v>
      </c>
      <c r="B6" s="33" t="n">
        <f aca="false">COUNTIF(CONG_VIEC!$J$6:$J$305,B5)</f>
        <v>1</v>
      </c>
      <c r="C6" s="33" t="n">
        <f aca="false">COUNTIF(CONG_VIEC!$J$6:$J$305,C5)</f>
        <v>0</v>
      </c>
      <c r="D6" s="33" t="n">
        <f aca="false">COUNTIF(CONG_VIEC!$J$6:$J$305,D5)</f>
        <v>1</v>
      </c>
      <c r="E6" s="33" t="n">
        <f aca="false">COUNTIF(CONG_VIEC!$J$6:$J$305,E5)</f>
        <v>0</v>
      </c>
      <c r="F6" s="33" t="n">
        <f aca="false">COUNTIF(CONG_VIEC!$J$6:$J$305,F5)</f>
        <v>1</v>
      </c>
      <c r="G6" s="33" t="n">
        <f aca="false">COUNTIF(CONG_VIEC!$J$6:$J$305,G5)</f>
        <v>0</v>
      </c>
      <c r="H6" s="33" t="n">
        <f aca="false">COUNTIF(CONG_VIEC!$J$6:$J$305,H5)</f>
        <v>0</v>
      </c>
    </row>
    <row r="7" customFormat="false" ht="15" hidden="false" customHeight="false" outlineLevel="0" collapsed="false">
      <c r="A7" s="8" t="s">
        <v>92</v>
      </c>
      <c r="B7" s="33" t="n">
        <f aca="false">COUNTIFS(CONG_VIEC!$J$6:$J$305,B5,CONG_VIEC!$K$6:$K$305,"Hoàn thành")</f>
        <v>0</v>
      </c>
      <c r="C7" s="33" t="n">
        <f aca="false">COUNTIFS(CONG_VIEC!$J$6:$J$305,C5,CONG_VIEC!$K$6:$K$305,"Hoàn thành")</f>
        <v>0</v>
      </c>
      <c r="D7" s="33" t="n">
        <f aca="false">COUNTIFS(CONG_VIEC!$J$6:$J$305,D5,CONG_VIEC!$K$6:$K$305,"Hoàn thành")</f>
        <v>0</v>
      </c>
      <c r="E7" s="33" t="n">
        <f aca="false">COUNTIFS(CONG_VIEC!$J$6:$J$305,E5,CONG_VIEC!$K$6:$K$305,"Hoàn thành")</f>
        <v>0</v>
      </c>
      <c r="F7" s="33" t="n">
        <f aca="false">COUNTIFS(CONG_VIEC!$J$6:$J$305,F5,CONG_VIEC!$K$6:$K$305,"Hoàn thành")</f>
        <v>0</v>
      </c>
      <c r="G7" s="33" t="n">
        <f aca="false">COUNTIFS(CONG_VIEC!$J$6:$J$305,G5,CONG_VIEC!$K$6:$K$305,"Hoàn thành")</f>
        <v>0</v>
      </c>
      <c r="H7" s="33" t="n">
        <f aca="false">COUNTIFS(CONG_VIEC!$J$6:$J$305,H5,CONG_VIEC!$K$6:$K$305,"Hoàn thành")</f>
        <v>0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19" t="s">
        <v>93</v>
      </c>
      <c r="B9" s="2"/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A10" s="8" t="s">
        <v>70</v>
      </c>
      <c r="B10" s="6" t="s">
        <v>72</v>
      </c>
      <c r="C10" s="6" t="s">
        <v>6</v>
      </c>
      <c r="D10" s="6" t="s">
        <v>7</v>
      </c>
      <c r="E10" s="6" t="s">
        <v>9</v>
      </c>
      <c r="F10" s="6" t="s">
        <v>14</v>
      </c>
      <c r="G10" s="6" t="s">
        <v>19</v>
      </c>
      <c r="H10" s="2"/>
    </row>
    <row r="11" customFormat="false" ht="15" hidden="false" customHeight="false" outlineLevel="0" collapsed="false">
      <c r="A11" s="24" t="n">
        <v>1</v>
      </c>
      <c r="B11" s="26" t="n">
        <f aca="false">IFERROR(INDEX(CONG_VIEC!$J$6:$J$305,MATCH(A11,CONG_VIEC!$AB$6:$AB$305,0)),"")</f>
        <v>46286</v>
      </c>
      <c r="C11" s="25" t="str">
        <f aca="false">IFERROR(INDEX(CONG_VIEC!$C$6:$C$305,MATCH(A11,CONG_VIEC!$AB$6:$AB$305,0))&amp;"","")</f>
        <v>[VÍ DỤ] Thu gom rác tồn đọng tuyến phố chính</v>
      </c>
      <c r="D11" s="20" t="str">
        <f aca="false">IFERROR(INDEX(CONG_VIEC!$D$6:$D$305,MATCH(A11,CONG_VIEC!$AB$6:$AB$305,0))&amp;"","")</f>
        <v>Đơn vị 1 (sửa tên)</v>
      </c>
      <c r="E11" s="20" t="str">
        <f aca="false">IFERROR(INDEX(CONG_VIEC!$F$6:$F$305,MATCH(A11,CONG_VIEC!$AB$6:$AB$305,0))&amp;"","")</f>
        <v>Người 1 (sửa tên)</v>
      </c>
      <c r="F11" s="20" t="str">
        <f aca="false">IFERROR(INDEX(CONG_VIEC!$K$6:$K$305,MATCH(A11,CONG_VIEC!$AB$6:$AB$305,0))&amp;"","")</f>
        <v>Đang làm</v>
      </c>
      <c r="G11" s="20" t="str">
        <f aca="false">IFERROR(INDEX(CONG_VIEC!$P$6:$P$305,MATCH(A11,CONG_VIEC!$AB$6:$AB$305,0))&amp;"","")</f>
        <v>Quá hạn</v>
      </c>
      <c r="H11" s="2"/>
    </row>
    <row r="12" customFormat="false" ht="15" hidden="false" customHeight="false" outlineLevel="0" collapsed="false">
      <c r="A12" s="24" t="n">
        <v>2</v>
      </c>
      <c r="B12" s="26" t="n">
        <f aca="false">IFERROR(INDEX(CONG_VIEC!$J$6:$J$305,MATCH(A12,CONG_VIEC!$AB$6:$AB$305,0)),"")</f>
        <v>46288</v>
      </c>
      <c r="C12" s="25" t="str">
        <f aca="false">IFERROR(INDEX(CONG_VIEC!$C$6:$C$305,MATCH(A12,CONG_VIEC!$AB$6:$AB$305,0))&amp;"","")</f>
        <v>[VÍ DỤ] Báo cáo tiến độ vệ sinh môi trường tháng 9</v>
      </c>
      <c r="D12" s="20" t="str">
        <f aca="false">IFERROR(INDEX(CONG_VIEC!$D$6:$D$305,MATCH(A12,CONG_VIEC!$AB$6:$AB$305,0))&amp;"","")</f>
        <v>Đơn vị 2 (sửa tên)</v>
      </c>
      <c r="E12" s="20" t="str">
        <f aca="false">IFERROR(INDEX(CONG_VIEC!$F$6:$F$305,MATCH(A12,CONG_VIEC!$AB$6:$AB$305,0))&amp;"","")</f>
        <v>Người 2 (sửa tên)</v>
      </c>
      <c r="F12" s="20" t="str">
        <f aca="false">IFERROR(INDEX(CONG_VIEC!$K$6:$K$305,MATCH(A12,CONG_VIEC!$AB$6:$AB$305,0))&amp;"","")</f>
        <v>Chưa làm</v>
      </c>
      <c r="G12" s="20" t="str">
        <f aca="false">IFERROR(INDEX(CONG_VIEC!$P$6:$P$305,MATCH(A12,CONG_VIEC!$AB$6:$AB$305,0))&amp;"","")</f>
        <v>Đến hạn hôm nay</v>
      </c>
      <c r="H12" s="2"/>
    </row>
    <row r="13" customFormat="false" ht="15" hidden="false" customHeight="false" outlineLevel="0" collapsed="false">
      <c r="A13" s="24" t="n">
        <v>3</v>
      </c>
      <c r="B13" s="26" t="n">
        <f aca="false">IFERROR(INDEX(CONG_VIEC!$J$6:$J$305,MATCH(A13,CONG_VIEC!$AB$6:$AB$305,0)),"")</f>
        <v>46290</v>
      </c>
      <c r="C13" s="25" t="str">
        <f aca="false">IFERROR(INDEX(CONG_VIEC!$C$6:$C$305,MATCH(A13,CONG_VIEC!$AB$6:$AB$305,0))&amp;"","")</f>
        <v>[VÍ DỤ] Sửa nắp hố ga bị vỡ theo phản ánh</v>
      </c>
      <c r="D13" s="20" t="str">
        <f aca="false">IFERROR(INDEX(CONG_VIEC!$D$6:$D$305,MATCH(A13,CONG_VIEC!$AB$6:$AB$305,0))&amp;"","")</f>
        <v>Đơn vị 3 (sửa tên)</v>
      </c>
      <c r="E13" s="20" t="str">
        <f aca="false">IFERROR(INDEX(CONG_VIEC!$F$6:$F$305,MATCH(A13,CONG_VIEC!$AB$6:$AB$305,0))&amp;"","")</f>
        <v>Người 3 (sửa tên)</v>
      </c>
      <c r="F13" s="20" t="str">
        <f aca="false">IFERROR(INDEX(CONG_VIEC!$K$6:$K$305,MATCH(A13,CONG_VIEC!$AB$6:$AB$305,0))&amp;"","")</f>
        <v>Chờ duyệt</v>
      </c>
      <c r="G13" s="20" t="str">
        <f aca="false">IFERROR(INDEX(CONG_VIEC!$P$6:$P$305,MATCH(A13,CONG_VIEC!$AB$6:$AB$305,0))&amp;"","")</f>
        <v>Sắp đến hạn</v>
      </c>
      <c r="H13" s="2"/>
    </row>
    <row r="14" customFormat="false" ht="15" hidden="false" customHeight="false" outlineLevel="0" collapsed="false">
      <c r="A14" s="24" t="n">
        <v>4</v>
      </c>
      <c r="B14" s="26" t="str">
        <f aca="false">IFERROR(INDEX(CONG_VIEC!$J$6:$J$305,MATCH(A14,CONG_VIEC!$AB$6:$AB$305,0)),"")</f>
        <v/>
      </c>
      <c r="C14" s="25" t="str">
        <f aca="false">IFERROR(INDEX(CONG_VIEC!$C$6:$C$305,MATCH(A14,CONG_VIEC!$AB$6:$AB$305,0))&amp;"","")</f>
        <v/>
      </c>
      <c r="D14" s="20" t="str">
        <f aca="false">IFERROR(INDEX(CONG_VIEC!$D$6:$D$305,MATCH(A14,CONG_VIEC!$AB$6:$AB$305,0))&amp;"","")</f>
        <v/>
      </c>
      <c r="E14" s="20" t="str">
        <f aca="false">IFERROR(INDEX(CONG_VIEC!$F$6:$F$305,MATCH(A14,CONG_VIEC!$AB$6:$AB$305,0))&amp;"","")</f>
        <v/>
      </c>
      <c r="F14" s="20" t="str">
        <f aca="false">IFERROR(INDEX(CONG_VIEC!$K$6:$K$305,MATCH(A14,CONG_VIEC!$AB$6:$AB$305,0))&amp;"","")</f>
        <v/>
      </c>
      <c r="G14" s="20" t="str">
        <f aca="false">IFERROR(INDEX(CONG_VIEC!$P$6:$P$305,MATCH(A14,CONG_VIEC!$AB$6:$AB$305,0))&amp;"","")</f>
        <v/>
      </c>
      <c r="H14" s="2"/>
    </row>
    <row r="15" customFormat="false" ht="15" hidden="false" customHeight="false" outlineLevel="0" collapsed="false">
      <c r="A15" s="24" t="n">
        <v>5</v>
      </c>
      <c r="B15" s="26" t="str">
        <f aca="false">IFERROR(INDEX(CONG_VIEC!$J$6:$J$305,MATCH(A15,CONG_VIEC!$AB$6:$AB$305,0)),"")</f>
        <v/>
      </c>
      <c r="C15" s="25" t="str">
        <f aca="false">IFERROR(INDEX(CONG_VIEC!$C$6:$C$305,MATCH(A15,CONG_VIEC!$AB$6:$AB$305,0))&amp;"","")</f>
        <v/>
      </c>
      <c r="D15" s="20" t="str">
        <f aca="false">IFERROR(INDEX(CONG_VIEC!$D$6:$D$305,MATCH(A15,CONG_VIEC!$AB$6:$AB$305,0))&amp;"","")</f>
        <v/>
      </c>
      <c r="E15" s="20" t="str">
        <f aca="false">IFERROR(INDEX(CONG_VIEC!$F$6:$F$305,MATCH(A15,CONG_VIEC!$AB$6:$AB$305,0))&amp;"","")</f>
        <v/>
      </c>
      <c r="F15" s="20" t="str">
        <f aca="false">IFERROR(INDEX(CONG_VIEC!$K$6:$K$305,MATCH(A15,CONG_VIEC!$AB$6:$AB$305,0))&amp;"","")</f>
        <v/>
      </c>
      <c r="G15" s="20" t="str">
        <f aca="false">IFERROR(INDEX(CONG_VIEC!$P$6:$P$305,MATCH(A15,CONG_VIEC!$AB$6:$AB$305,0))&amp;"","")</f>
        <v/>
      </c>
      <c r="H15" s="2"/>
    </row>
    <row r="16" customFormat="false" ht="15" hidden="false" customHeight="false" outlineLevel="0" collapsed="false">
      <c r="A16" s="24" t="n">
        <v>6</v>
      </c>
      <c r="B16" s="26" t="str">
        <f aca="false">IFERROR(INDEX(CONG_VIEC!$J$6:$J$305,MATCH(A16,CONG_VIEC!$AB$6:$AB$305,0)),"")</f>
        <v/>
      </c>
      <c r="C16" s="25" t="str">
        <f aca="false">IFERROR(INDEX(CONG_VIEC!$C$6:$C$305,MATCH(A16,CONG_VIEC!$AB$6:$AB$305,0))&amp;"","")</f>
        <v/>
      </c>
      <c r="D16" s="20" t="str">
        <f aca="false">IFERROR(INDEX(CONG_VIEC!$D$6:$D$305,MATCH(A16,CONG_VIEC!$AB$6:$AB$305,0))&amp;"","")</f>
        <v/>
      </c>
      <c r="E16" s="20" t="str">
        <f aca="false">IFERROR(INDEX(CONG_VIEC!$F$6:$F$305,MATCH(A16,CONG_VIEC!$AB$6:$AB$305,0))&amp;"","")</f>
        <v/>
      </c>
      <c r="F16" s="20" t="str">
        <f aca="false">IFERROR(INDEX(CONG_VIEC!$K$6:$K$305,MATCH(A16,CONG_VIEC!$AB$6:$AB$305,0))&amp;"","")</f>
        <v/>
      </c>
      <c r="G16" s="20" t="str">
        <f aca="false">IFERROR(INDEX(CONG_VIEC!$P$6:$P$305,MATCH(A16,CONG_VIEC!$AB$6:$AB$305,0))&amp;"","")</f>
        <v/>
      </c>
      <c r="H16" s="2"/>
    </row>
    <row r="17" customFormat="false" ht="15" hidden="false" customHeight="false" outlineLevel="0" collapsed="false">
      <c r="A17" s="24" t="n">
        <v>7</v>
      </c>
      <c r="B17" s="26" t="str">
        <f aca="false">IFERROR(INDEX(CONG_VIEC!$J$6:$J$305,MATCH(A17,CONG_VIEC!$AB$6:$AB$305,0)),"")</f>
        <v/>
      </c>
      <c r="C17" s="25" t="str">
        <f aca="false">IFERROR(INDEX(CONG_VIEC!$C$6:$C$305,MATCH(A17,CONG_VIEC!$AB$6:$AB$305,0))&amp;"","")</f>
        <v/>
      </c>
      <c r="D17" s="20" t="str">
        <f aca="false">IFERROR(INDEX(CONG_VIEC!$D$6:$D$305,MATCH(A17,CONG_VIEC!$AB$6:$AB$305,0))&amp;"","")</f>
        <v/>
      </c>
      <c r="E17" s="20" t="str">
        <f aca="false">IFERROR(INDEX(CONG_VIEC!$F$6:$F$305,MATCH(A17,CONG_VIEC!$AB$6:$AB$305,0))&amp;"","")</f>
        <v/>
      </c>
      <c r="F17" s="20" t="str">
        <f aca="false">IFERROR(INDEX(CONG_VIEC!$K$6:$K$305,MATCH(A17,CONG_VIEC!$AB$6:$AB$305,0))&amp;"","")</f>
        <v/>
      </c>
      <c r="G17" s="20" t="str">
        <f aca="false">IFERROR(INDEX(CONG_VIEC!$P$6:$P$305,MATCH(A17,CONG_VIEC!$AB$6:$AB$305,0))&amp;"","")</f>
        <v/>
      </c>
      <c r="H17" s="2"/>
    </row>
    <row r="18" customFormat="false" ht="15" hidden="false" customHeight="false" outlineLevel="0" collapsed="false">
      <c r="A18" s="24" t="n">
        <v>8</v>
      </c>
      <c r="B18" s="26" t="str">
        <f aca="false">IFERROR(INDEX(CONG_VIEC!$J$6:$J$305,MATCH(A18,CONG_VIEC!$AB$6:$AB$305,0)),"")</f>
        <v/>
      </c>
      <c r="C18" s="25" t="str">
        <f aca="false">IFERROR(INDEX(CONG_VIEC!$C$6:$C$305,MATCH(A18,CONG_VIEC!$AB$6:$AB$305,0))&amp;"","")</f>
        <v/>
      </c>
      <c r="D18" s="20" t="str">
        <f aca="false">IFERROR(INDEX(CONG_VIEC!$D$6:$D$305,MATCH(A18,CONG_VIEC!$AB$6:$AB$305,0))&amp;"","")</f>
        <v/>
      </c>
      <c r="E18" s="20" t="str">
        <f aca="false">IFERROR(INDEX(CONG_VIEC!$F$6:$F$305,MATCH(A18,CONG_VIEC!$AB$6:$AB$305,0))&amp;"","")</f>
        <v/>
      </c>
      <c r="F18" s="20" t="str">
        <f aca="false">IFERROR(INDEX(CONG_VIEC!$K$6:$K$305,MATCH(A18,CONG_VIEC!$AB$6:$AB$305,0))&amp;"","")</f>
        <v/>
      </c>
      <c r="G18" s="20" t="str">
        <f aca="false">IFERROR(INDEX(CONG_VIEC!$P$6:$P$305,MATCH(A18,CONG_VIEC!$AB$6:$AB$305,0))&amp;"","")</f>
        <v/>
      </c>
      <c r="H18" s="2"/>
    </row>
    <row r="19" customFormat="false" ht="15" hidden="false" customHeight="false" outlineLevel="0" collapsed="false">
      <c r="A19" s="24" t="n">
        <v>9</v>
      </c>
      <c r="B19" s="26" t="str">
        <f aca="false">IFERROR(INDEX(CONG_VIEC!$J$6:$J$305,MATCH(A19,CONG_VIEC!$AB$6:$AB$305,0)),"")</f>
        <v/>
      </c>
      <c r="C19" s="25" t="str">
        <f aca="false">IFERROR(INDEX(CONG_VIEC!$C$6:$C$305,MATCH(A19,CONG_VIEC!$AB$6:$AB$305,0))&amp;"","")</f>
        <v/>
      </c>
      <c r="D19" s="20" t="str">
        <f aca="false">IFERROR(INDEX(CONG_VIEC!$D$6:$D$305,MATCH(A19,CONG_VIEC!$AB$6:$AB$305,0))&amp;"","")</f>
        <v/>
      </c>
      <c r="E19" s="20" t="str">
        <f aca="false">IFERROR(INDEX(CONG_VIEC!$F$6:$F$305,MATCH(A19,CONG_VIEC!$AB$6:$AB$305,0))&amp;"","")</f>
        <v/>
      </c>
      <c r="F19" s="20" t="str">
        <f aca="false">IFERROR(INDEX(CONG_VIEC!$K$6:$K$305,MATCH(A19,CONG_VIEC!$AB$6:$AB$305,0))&amp;"","")</f>
        <v/>
      </c>
      <c r="G19" s="20" t="str">
        <f aca="false">IFERROR(INDEX(CONG_VIEC!$P$6:$P$305,MATCH(A19,CONG_VIEC!$AB$6:$AB$305,0))&amp;"","")</f>
        <v/>
      </c>
      <c r="H19" s="2"/>
    </row>
    <row r="20" customFormat="false" ht="15" hidden="false" customHeight="false" outlineLevel="0" collapsed="false">
      <c r="A20" s="24" t="n">
        <v>10</v>
      </c>
      <c r="B20" s="26" t="str">
        <f aca="false">IFERROR(INDEX(CONG_VIEC!$J$6:$J$305,MATCH(A20,CONG_VIEC!$AB$6:$AB$305,0)),"")</f>
        <v/>
      </c>
      <c r="C20" s="25" t="str">
        <f aca="false">IFERROR(INDEX(CONG_VIEC!$C$6:$C$305,MATCH(A20,CONG_VIEC!$AB$6:$AB$305,0))&amp;"","")</f>
        <v/>
      </c>
      <c r="D20" s="20" t="str">
        <f aca="false">IFERROR(INDEX(CONG_VIEC!$D$6:$D$305,MATCH(A20,CONG_VIEC!$AB$6:$AB$305,0))&amp;"","")</f>
        <v/>
      </c>
      <c r="E20" s="20" t="str">
        <f aca="false">IFERROR(INDEX(CONG_VIEC!$F$6:$F$305,MATCH(A20,CONG_VIEC!$AB$6:$AB$305,0))&amp;"","")</f>
        <v/>
      </c>
      <c r="F20" s="20" t="str">
        <f aca="false">IFERROR(INDEX(CONG_VIEC!$K$6:$K$305,MATCH(A20,CONG_VIEC!$AB$6:$AB$305,0))&amp;"","")</f>
        <v/>
      </c>
      <c r="G20" s="20" t="str">
        <f aca="false">IFERROR(INDEX(CONG_VIEC!$P$6:$P$305,MATCH(A20,CONG_VIEC!$AB$6:$AB$305,0))&amp;"","")</f>
        <v/>
      </c>
      <c r="H20" s="2"/>
    </row>
    <row r="21" customFormat="false" ht="15" hidden="false" customHeight="false" outlineLevel="0" collapsed="false">
      <c r="A21" s="24" t="n">
        <v>11</v>
      </c>
      <c r="B21" s="26" t="str">
        <f aca="false">IFERROR(INDEX(CONG_VIEC!$J$6:$J$305,MATCH(A21,CONG_VIEC!$AB$6:$AB$305,0)),"")</f>
        <v/>
      </c>
      <c r="C21" s="25" t="str">
        <f aca="false">IFERROR(INDEX(CONG_VIEC!$C$6:$C$305,MATCH(A21,CONG_VIEC!$AB$6:$AB$305,0))&amp;"","")</f>
        <v/>
      </c>
      <c r="D21" s="20" t="str">
        <f aca="false">IFERROR(INDEX(CONG_VIEC!$D$6:$D$305,MATCH(A21,CONG_VIEC!$AB$6:$AB$305,0))&amp;"","")</f>
        <v/>
      </c>
      <c r="E21" s="20" t="str">
        <f aca="false">IFERROR(INDEX(CONG_VIEC!$F$6:$F$305,MATCH(A21,CONG_VIEC!$AB$6:$AB$305,0))&amp;"","")</f>
        <v/>
      </c>
      <c r="F21" s="20" t="str">
        <f aca="false">IFERROR(INDEX(CONG_VIEC!$K$6:$K$305,MATCH(A21,CONG_VIEC!$AB$6:$AB$305,0))&amp;"","")</f>
        <v/>
      </c>
      <c r="G21" s="20" t="str">
        <f aca="false">IFERROR(INDEX(CONG_VIEC!$P$6:$P$305,MATCH(A21,CONG_VIEC!$AB$6:$AB$305,0))&amp;"","")</f>
        <v/>
      </c>
      <c r="H21" s="2"/>
    </row>
    <row r="22" customFormat="false" ht="15" hidden="false" customHeight="false" outlineLevel="0" collapsed="false">
      <c r="A22" s="24" t="n">
        <v>12</v>
      </c>
      <c r="B22" s="26" t="str">
        <f aca="false">IFERROR(INDEX(CONG_VIEC!$J$6:$J$305,MATCH(A22,CONG_VIEC!$AB$6:$AB$305,0)),"")</f>
        <v/>
      </c>
      <c r="C22" s="25" t="str">
        <f aca="false">IFERROR(INDEX(CONG_VIEC!$C$6:$C$305,MATCH(A22,CONG_VIEC!$AB$6:$AB$305,0))&amp;"","")</f>
        <v/>
      </c>
      <c r="D22" s="20" t="str">
        <f aca="false">IFERROR(INDEX(CONG_VIEC!$D$6:$D$305,MATCH(A22,CONG_VIEC!$AB$6:$AB$305,0))&amp;"","")</f>
        <v/>
      </c>
      <c r="E22" s="20" t="str">
        <f aca="false">IFERROR(INDEX(CONG_VIEC!$F$6:$F$305,MATCH(A22,CONG_VIEC!$AB$6:$AB$305,0))&amp;"","")</f>
        <v/>
      </c>
      <c r="F22" s="20" t="str">
        <f aca="false">IFERROR(INDEX(CONG_VIEC!$K$6:$K$305,MATCH(A22,CONG_VIEC!$AB$6:$AB$305,0))&amp;"","")</f>
        <v/>
      </c>
      <c r="G22" s="20" t="str">
        <f aca="false">IFERROR(INDEX(CONG_VIEC!$P$6:$P$305,MATCH(A22,CONG_VIEC!$AB$6:$AB$305,0))&amp;"","")</f>
        <v/>
      </c>
      <c r="H22" s="2"/>
    </row>
    <row r="23" customFormat="false" ht="15" hidden="false" customHeight="false" outlineLevel="0" collapsed="false">
      <c r="A23" s="24" t="n">
        <v>13</v>
      </c>
      <c r="B23" s="26" t="str">
        <f aca="false">IFERROR(INDEX(CONG_VIEC!$J$6:$J$305,MATCH(A23,CONG_VIEC!$AB$6:$AB$305,0)),"")</f>
        <v/>
      </c>
      <c r="C23" s="25" t="str">
        <f aca="false">IFERROR(INDEX(CONG_VIEC!$C$6:$C$305,MATCH(A23,CONG_VIEC!$AB$6:$AB$305,0))&amp;"","")</f>
        <v/>
      </c>
      <c r="D23" s="20" t="str">
        <f aca="false">IFERROR(INDEX(CONG_VIEC!$D$6:$D$305,MATCH(A23,CONG_VIEC!$AB$6:$AB$305,0))&amp;"","")</f>
        <v/>
      </c>
      <c r="E23" s="20" t="str">
        <f aca="false">IFERROR(INDEX(CONG_VIEC!$F$6:$F$305,MATCH(A23,CONG_VIEC!$AB$6:$AB$305,0))&amp;"","")</f>
        <v/>
      </c>
      <c r="F23" s="20" t="str">
        <f aca="false">IFERROR(INDEX(CONG_VIEC!$K$6:$K$305,MATCH(A23,CONG_VIEC!$AB$6:$AB$305,0))&amp;"","")</f>
        <v/>
      </c>
      <c r="G23" s="20" t="str">
        <f aca="false">IFERROR(INDEX(CONG_VIEC!$P$6:$P$305,MATCH(A23,CONG_VIEC!$AB$6:$AB$305,0))&amp;"","")</f>
        <v/>
      </c>
      <c r="H23" s="2"/>
    </row>
    <row r="24" customFormat="false" ht="15" hidden="false" customHeight="false" outlineLevel="0" collapsed="false">
      <c r="A24" s="24" t="n">
        <v>14</v>
      </c>
      <c r="B24" s="26" t="str">
        <f aca="false">IFERROR(INDEX(CONG_VIEC!$J$6:$J$305,MATCH(A24,CONG_VIEC!$AB$6:$AB$305,0)),"")</f>
        <v/>
      </c>
      <c r="C24" s="25" t="str">
        <f aca="false">IFERROR(INDEX(CONG_VIEC!$C$6:$C$305,MATCH(A24,CONG_VIEC!$AB$6:$AB$305,0))&amp;"","")</f>
        <v/>
      </c>
      <c r="D24" s="20" t="str">
        <f aca="false">IFERROR(INDEX(CONG_VIEC!$D$6:$D$305,MATCH(A24,CONG_VIEC!$AB$6:$AB$305,0))&amp;"","")</f>
        <v/>
      </c>
      <c r="E24" s="20" t="str">
        <f aca="false">IFERROR(INDEX(CONG_VIEC!$F$6:$F$305,MATCH(A24,CONG_VIEC!$AB$6:$AB$305,0))&amp;"","")</f>
        <v/>
      </c>
      <c r="F24" s="20" t="str">
        <f aca="false">IFERROR(INDEX(CONG_VIEC!$K$6:$K$305,MATCH(A24,CONG_VIEC!$AB$6:$AB$305,0))&amp;"","")</f>
        <v/>
      </c>
      <c r="G24" s="20" t="str">
        <f aca="false">IFERROR(INDEX(CONG_VIEC!$P$6:$P$305,MATCH(A24,CONG_VIEC!$AB$6:$AB$305,0))&amp;"","")</f>
        <v/>
      </c>
      <c r="H24" s="2"/>
    </row>
    <row r="25" customFormat="false" ht="15" hidden="false" customHeight="false" outlineLevel="0" collapsed="false">
      <c r="A25" s="24" t="n">
        <v>15</v>
      </c>
      <c r="B25" s="26" t="str">
        <f aca="false">IFERROR(INDEX(CONG_VIEC!$J$6:$J$305,MATCH(A25,CONG_VIEC!$AB$6:$AB$305,0)),"")</f>
        <v/>
      </c>
      <c r="C25" s="25" t="str">
        <f aca="false">IFERROR(INDEX(CONG_VIEC!$C$6:$C$305,MATCH(A25,CONG_VIEC!$AB$6:$AB$305,0))&amp;"","")</f>
        <v/>
      </c>
      <c r="D25" s="20" t="str">
        <f aca="false">IFERROR(INDEX(CONG_VIEC!$D$6:$D$305,MATCH(A25,CONG_VIEC!$AB$6:$AB$305,0))&amp;"","")</f>
        <v/>
      </c>
      <c r="E25" s="20" t="str">
        <f aca="false">IFERROR(INDEX(CONG_VIEC!$F$6:$F$305,MATCH(A25,CONG_VIEC!$AB$6:$AB$305,0))&amp;"","")</f>
        <v/>
      </c>
      <c r="F25" s="20" t="str">
        <f aca="false">IFERROR(INDEX(CONG_VIEC!$K$6:$K$305,MATCH(A25,CONG_VIEC!$AB$6:$AB$305,0))&amp;"","")</f>
        <v/>
      </c>
      <c r="G25" s="20" t="str">
        <f aca="false">IFERROR(INDEX(CONG_VIEC!$P$6:$P$305,MATCH(A25,CONG_VIEC!$AB$6:$AB$305,0))&amp;"","")</f>
        <v/>
      </c>
      <c r="H25" s="2"/>
    </row>
    <row r="26" customFormat="false" ht="15" hidden="false" customHeight="false" outlineLevel="0" collapsed="false">
      <c r="A26" s="24" t="n">
        <v>16</v>
      </c>
      <c r="B26" s="26" t="str">
        <f aca="false">IFERROR(INDEX(CONG_VIEC!$J$6:$J$305,MATCH(A26,CONG_VIEC!$AB$6:$AB$305,0)),"")</f>
        <v/>
      </c>
      <c r="C26" s="25" t="str">
        <f aca="false">IFERROR(INDEX(CONG_VIEC!$C$6:$C$305,MATCH(A26,CONG_VIEC!$AB$6:$AB$305,0))&amp;"","")</f>
        <v/>
      </c>
      <c r="D26" s="20" t="str">
        <f aca="false">IFERROR(INDEX(CONG_VIEC!$D$6:$D$305,MATCH(A26,CONG_VIEC!$AB$6:$AB$305,0))&amp;"","")</f>
        <v/>
      </c>
      <c r="E26" s="20" t="str">
        <f aca="false">IFERROR(INDEX(CONG_VIEC!$F$6:$F$305,MATCH(A26,CONG_VIEC!$AB$6:$AB$305,0))&amp;"","")</f>
        <v/>
      </c>
      <c r="F26" s="20" t="str">
        <f aca="false">IFERROR(INDEX(CONG_VIEC!$K$6:$K$305,MATCH(A26,CONG_VIEC!$AB$6:$AB$305,0))&amp;"","")</f>
        <v/>
      </c>
      <c r="G26" s="20" t="str">
        <f aca="false">IFERROR(INDEX(CONG_VIEC!$P$6:$P$305,MATCH(A26,CONG_VIEC!$AB$6:$AB$305,0))&amp;"","")</f>
        <v/>
      </c>
      <c r="H26" s="2"/>
    </row>
    <row r="27" customFormat="false" ht="15" hidden="false" customHeight="false" outlineLevel="0" collapsed="false">
      <c r="A27" s="24" t="n">
        <v>17</v>
      </c>
      <c r="B27" s="26" t="str">
        <f aca="false">IFERROR(INDEX(CONG_VIEC!$J$6:$J$305,MATCH(A27,CONG_VIEC!$AB$6:$AB$305,0)),"")</f>
        <v/>
      </c>
      <c r="C27" s="25" t="str">
        <f aca="false">IFERROR(INDEX(CONG_VIEC!$C$6:$C$305,MATCH(A27,CONG_VIEC!$AB$6:$AB$305,0))&amp;"","")</f>
        <v/>
      </c>
      <c r="D27" s="20" t="str">
        <f aca="false">IFERROR(INDEX(CONG_VIEC!$D$6:$D$305,MATCH(A27,CONG_VIEC!$AB$6:$AB$305,0))&amp;"","")</f>
        <v/>
      </c>
      <c r="E27" s="20" t="str">
        <f aca="false">IFERROR(INDEX(CONG_VIEC!$F$6:$F$305,MATCH(A27,CONG_VIEC!$AB$6:$AB$305,0))&amp;"","")</f>
        <v/>
      </c>
      <c r="F27" s="20" t="str">
        <f aca="false">IFERROR(INDEX(CONG_VIEC!$K$6:$K$305,MATCH(A27,CONG_VIEC!$AB$6:$AB$305,0))&amp;"","")</f>
        <v/>
      </c>
      <c r="G27" s="20" t="str">
        <f aca="false">IFERROR(INDEX(CONG_VIEC!$P$6:$P$305,MATCH(A27,CONG_VIEC!$AB$6:$AB$305,0))&amp;"","")</f>
        <v/>
      </c>
      <c r="H27" s="2"/>
    </row>
    <row r="28" customFormat="false" ht="15" hidden="false" customHeight="false" outlineLevel="0" collapsed="false">
      <c r="A28" s="24" t="n">
        <v>18</v>
      </c>
      <c r="B28" s="26" t="str">
        <f aca="false">IFERROR(INDEX(CONG_VIEC!$J$6:$J$305,MATCH(A28,CONG_VIEC!$AB$6:$AB$305,0)),"")</f>
        <v/>
      </c>
      <c r="C28" s="25" t="str">
        <f aca="false">IFERROR(INDEX(CONG_VIEC!$C$6:$C$305,MATCH(A28,CONG_VIEC!$AB$6:$AB$305,0))&amp;"","")</f>
        <v/>
      </c>
      <c r="D28" s="20" t="str">
        <f aca="false">IFERROR(INDEX(CONG_VIEC!$D$6:$D$305,MATCH(A28,CONG_VIEC!$AB$6:$AB$305,0))&amp;"","")</f>
        <v/>
      </c>
      <c r="E28" s="20" t="str">
        <f aca="false">IFERROR(INDEX(CONG_VIEC!$F$6:$F$305,MATCH(A28,CONG_VIEC!$AB$6:$AB$305,0))&amp;"","")</f>
        <v/>
      </c>
      <c r="F28" s="20" t="str">
        <f aca="false">IFERROR(INDEX(CONG_VIEC!$K$6:$K$305,MATCH(A28,CONG_VIEC!$AB$6:$AB$305,0))&amp;"","")</f>
        <v/>
      </c>
      <c r="G28" s="20" t="str">
        <f aca="false">IFERROR(INDEX(CONG_VIEC!$P$6:$P$305,MATCH(A28,CONG_VIEC!$AB$6:$AB$305,0))&amp;"","")</f>
        <v/>
      </c>
      <c r="H28" s="2"/>
    </row>
    <row r="29" customFormat="false" ht="15" hidden="false" customHeight="false" outlineLevel="0" collapsed="false">
      <c r="A29" s="24" t="n">
        <v>19</v>
      </c>
      <c r="B29" s="26" t="str">
        <f aca="false">IFERROR(INDEX(CONG_VIEC!$J$6:$J$305,MATCH(A29,CONG_VIEC!$AB$6:$AB$305,0)),"")</f>
        <v/>
      </c>
      <c r="C29" s="25" t="str">
        <f aca="false">IFERROR(INDEX(CONG_VIEC!$C$6:$C$305,MATCH(A29,CONG_VIEC!$AB$6:$AB$305,0))&amp;"","")</f>
        <v/>
      </c>
      <c r="D29" s="20" t="str">
        <f aca="false">IFERROR(INDEX(CONG_VIEC!$D$6:$D$305,MATCH(A29,CONG_VIEC!$AB$6:$AB$305,0))&amp;"","")</f>
        <v/>
      </c>
      <c r="E29" s="20" t="str">
        <f aca="false">IFERROR(INDEX(CONG_VIEC!$F$6:$F$305,MATCH(A29,CONG_VIEC!$AB$6:$AB$305,0))&amp;"","")</f>
        <v/>
      </c>
      <c r="F29" s="20" t="str">
        <f aca="false">IFERROR(INDEX(CONG_VIEC!$K$6:$K$305,MATCH(A29,CONG_VIEC!$AB$6:$AB$305,0))&amp;"","")</f>
        <v/>
      </c>
      <c r="G29" s="20" t="str">
        <f aca="false">IFERROR(INDEX(CONG_VIEC!$P$6:$P$305,MATCH(A29,CONG_VIEC!$AB$6:$AB$305,0))&amp;"","")</f>
        <v/>
      </c>
      <c r="H29" s="2"/>
    </row>
    <row r="30" customFormat="false" ht="15" hidden="false" customHeight="false" outlineLevel="0" collapsed="false">
      <c r="A30" s="24" t="n">
        <v>20</v>
      </c>
      <c r="B30" s="26" t="str">
        <f aca="false">IFERROR(INDEX(CONG_VIEC!$J$6:$J$305,MATCH(A30,CONG_VIEC!$AB$6:$AB$305,0)),"")</f>
        <v/>
      </c>
      <c r="C30" s="25" t="str">
        <f aca="false">IFERROR(INDEX(CONG_VIEC!$C$6:$C$305,MATCH(A30,CONG_VIEC!$AB$6:$AB$305,0))&amp;"","")</f>
        <v/>
      </c>
      <c r="D30" s="20" t="str">
        <f aca="false">IFERROR(INDEX(CONG_VIEC!$D$6:$D$305,MATCH(A30,CONG_VIEC!$AB$6:$AB$305,0))&amp;"","")</f>
        <v/>
      </c>
      <c r="E30" s="20" t="str">
        <f aca="false">IFERROR(INDEX(CONG_VIEC!$F$6:$F$305,MATCH(A30,CONG_VIEC!$AB$6:$AB$305,0))&amp;"","")</f>
        <v/>
      </c>
      <c r="F30" s="20" t="str">
        <f aca="false">IFERROR(INDEX(CONG_VIEC!$K$6:$K$305,MATCH(A30,CONG_VIEC!$AB$6:$AB$305,0))&amp;"","")</f>
        <v/>
      </c>
      <c r="G30" s="20" t="str">
        <f aca="false">IFERROR(INDEX(CONG_VIEC!$P$6:$P$305,MATCH(A30,CONG_VIEC!$AB$6:$AB$305,0))&amp;"","")</f>
        <v/>
      </c>
      <c r="H30" s="2"/>
    </row>
    <row r="31" customFormat="false" ht="15" hidden="false" customHeight="false" outlineLevel="0" collapsed="false">
      <c r="A31" s="24" t="n">
        <v>21</v>
      </c>
      <c r="B31" s="26" t="str">
        <f aca="false">IFERROR(INDEX(CONG_VIEC!$J$6:$J$305,MATCH(A31,CONG_VIEC!$AB$6:$AB$305,0)),"")</f>
        <v/>
      </c>
      <c r="C31" s="25" t="str">
        <f aca="false">IFERROR(INDEX(CONG_VIEC!$C$6:$C$305,MATCH(A31,CONG_VIEC!$AB$6:$AB$305,0))&amp;"","")</f>
        <v/>
      </c>
      <c r="D31" s="20" t="str">
        <f aca="false">IFERROR(INDEX(CONG_VIEC!$D$6:$D$305,MATCH(A31,CONG_VIEC!$AB$6:$AB$305,0))&amp;"","")</f>
        <v/>
      </c>
      <c r="E31" s="20" t="str">
        <f aca="false">IFERROR(INDEX(CONG_VIEC!$F$6:$F$305,MATCH(A31,CONG_VIEC!$AB$6:$AB$305,0))&amp;"","")</f>
        <v/>
      </c>
      <c r="F31" s="20" t="str">
        <f aca="false">IFERROR(INDEX(CONG_VIEC!$K$6:$K$305,MATCH(A31,CONG_VIEC!$AB$6:$AB$305,0))&amp;"","")</f>
        <v/>
      </c>
      <c r="G31" s="20" t="str">
        <f aca="false">IFERROR(INDEX(CONG_VIEC!$P$6:$P$305,MATCH(A31,CONG_VIEC!$AB$6:$AB$305,0))&amp;"","")</f>
        <v/>
      </c>
      <c r="H31" s="2"/>
    </row>
    <row r="32" customFormat="false" ht="15" hidden="false" customHeight="false" outlineLevel="0" collapsed="false">
      <c r="A32" s="24" t="n">
        <v>22</v>
      </c>
      <c r="B32" s="26" t="str">
        <f aca="false">IFERROR(INDEX(CONG_VIEC!$J$6:$J$305,MATCH(A32,CONG_VIEC!$AB$6:$AB$305,0)),"")</f>
        <v/>
      </c>
      <c r="C32" s="25" t="str">
        <f aca="false">IFERROR(INDEX(CONG_VIEC!$C$6:$C$305,MATCH(A32,CONG_VIEC!$AB$6:$AB$305,0))&amp;"","")</f>
        <v/>
      </c>
      <c r="D32" s="20" t="str">
        <f aca="false">IFERROR(INDEX(CONG_VIEC!$D$6:$D$305,MATCH(A32,CONG_VIEC!$AB$6:$AB$305,0))&amp;"","")</f>
        <v/>
      </c>
      <c r="E32" s="20" t="str">
        <f aca="false">IFERROR(INDEX(CONG_VIEC!$F$6:$F$305,MATCH(A32,CONG_VIEC!$AB$6:$AB$305,0))&amp;"","")</f>
        <v/>
      </c>
      <c r="F32" s="20" t="str">
        <f aca="false">IFERROR(INDEX(CONG_VIEC!$K$6:$K$305,MATCH(A32,CONG_VIEC!$AB$6:$AB$305,0))&amp;"","")</f>
        <v/>
      </c>
      <c r="G32" s="20" t="str">
        <f aca="false">IFERROR(INDEX(CONG_VIEC!$P$6:$P$305,MATCH(A32,CONG_VIEC!$AB$6:$AB$305,0))&amp;"","")</f>
        <v/>
      </c>
      <c r="H32" s="2"/>
    </row>
    <row r="33" customFormat="false" ht="15" hidden="false" customHeight="false" outlineLevel="0" collapsed="false">
      <c r="A33" s="24" t="n">
        <v>23</v>
      </c>
      <c r="B33" s="26" t="str">
        <f aca="false">IFERROR(INDEX(CONG_VIEC!$J$6:$J$305,MATCH(A33,CONG_VIEC!$AB$6:$AB$305,0)),"")</f>
        <v/>
      </c>
      <c r="C33" s="25" t="str">
        <f aca="false">IFERROR(INDEX(CONG_VIEC!$C$6:$C$305,MATCH(A33,CONG_VIEC!$AB$6:$AB$305,0))&amp;"","")</f>
        <v/>
      </c>
      <c r="D33" s="20" t="str">
        <f aca="false">IFERROR(INDEX(CONG_VIEC!$D$6:$D$305,MATCH(A33,CONG_VIEC!$AB$6:$AB$305,0))&amp;"","")</f>
        <v/>
      </c>
      <c r="E33" s="20" t="str">
        <f aca="false">IFERROR(INDEX(CONG_VIEC!$F$6:$F$305,MATCH(A33,CONG_VIEC!$AB$6:$AB$305,0))&amp;"","")</f>
        <v/>
      </c>
      <c r="F33" s="20" t="str">
        <f aca="false">IFERROR(INDEX(CONG_VIEC!$K$6:$K$305,MATCH(A33,CONG_VIEC!$AB$6:$AB$305,0))&amp;"","")</f>
        <v/>
      </c>
      <c r="G33" s="20" t="str">
        <f aca="false">IFERROR(INDEX(CONG_VIEC!$P$6:$P$305,MATCH(A33,CONG_VIEC!$AB$6:$AB$305,0))&amp;"","")</f>
        <v/>
      </c>
      <c r="H33" s="2"/>
    </row>
    <row r="34" customFormat="false" ht="15" hidden="false" customHeight="false" outlineLevel="0" collapsed="false">
      <c r="A34" s="24" t="n">
        <v>24</v>
      </c>
      <c r="B34" s="26" t="str">
        <f aca="false">IFERROR(INDEX(CONG_VIEC!$J$6:$J$305,MATCH(A34,CONG_VIEC!$AB$6:$AB$305,0)),"")</f>
        <v/>
      </c>
      <c r="C34" s="25" t="str">
        <f aca="false">IFERROR(INDEX(CONG_VIEC!$C$6:$C$305,MATCH(A34,CONG_VIEC!$AB$6:$AB$305,0))&amp;"","")</f>
        <v/>
      </c>
      <c r="D34" s="20" t="str">
        <f aca="false">IFERROR(INDEX(CONG_VIEC!$D$6:$D$305,MATCH(A34,CONG_VIEC!$AB$6:$AB$305,0))&amp;"","")</f>
        <v/>
      </c>
      <c r="E34" s="20" t="str">
        <f aca="false">IFERROR(INDEX(CONG_VIEC!$F$6:$F$305,MATCH(A34,CONG_VIEC!$AB$6:$AB$305,0))&amp;"","")</f>
        <v/>
      </c>
      <c r="F34" s="20" t="str">
        <f aca="false">IFERROR(INDEX(CONG_VIEC!$K$6:$K$305,MATCH(A34,CONG_VIEC!$AB$6:$AB$305,0))&amp;"","")</f>
        <v/>
      </c>
      <c r="G34" s="20" t="str">
        <f aca="false">IFERROR(INDEX(CONG_VIEC!$P$6:$P$305,MATCH(A34,CONG_VIEC!$AB$6:$AB$305,0))&amp;"","")</f>
        <v/>
      </c>
      <c r="H34" s="2"/>
    </row>
    <row r="35" customFormat="false" ht="15" hidden="false" customHeight="false" outlineLevel="0" collapsed="false">
      <c r="A35" s="24" t="n">
        <v>25</v>
      </c>
      <c r="B35" s="26" t="str">
        <f aca="false">IFERROR(INDEX(CONG_VIEC!$J$6:$J$305,MATCH(A35,CONG_VIEC!$AB$6:$AB$305,0)),"")</f>
        <v/>
      </c>
      <c r="C35" s="25" t="str">
        <f aca="false">IFERROR(INDEX(CONG_VIEC!$C$6:$C$305,MATCH(A35,CONG_VIEC!$AB$6:$AB$305,0))&amp;"","")</f>
        <v/>
      </c>
      <c r="D35" s="20" t="str">
        <f aca="false">IFERROR(INDEX(CONG_VIEC!$D$6:$D$305,MATCH(A35,CONG_VIEC!$AB$6:$AB$305,0))&amp;"","")</f>
        <v/>
      </c>
      <c r="E35" s="20" t="str">
        <f aca="false">IFERROR(INDEX(CONG_VIEC!$F$6:$F$305,MATCH(A35,CONG_VIEC!$AB$6:$AB$305,0))&amp;"","")</f>
        <v/>
      </c>
      <c r="F35" s="20" t="str">
        <f aca="false">IFERROR(INDEX(CONG_VIEC!$K$6:$K$305,MATCH(A35,CONG_VIEC!$AB$6:$AB$305,0))&amp;"","")</f>
        <v/>
      </c>
      <c r="G35" s="20" t="str">
        <f aca="false">IFERROR(INDEX(CONG_VIEC!$P$6:$P$305,MATCH(A35,CONG_VIEC!$AB$6:$AB$305,0))&amp;"","")</f>
        <v/>
      </c>
      <c r="H35" s="2"/>
    </row>
    <row r="36" customFormat="false" ht="15" hidden="false" customHeight="false" outlineLevel="0" collapsed="false">
      <c r="A36" s="24" t="n">
        <v>26</v>
      </c>
      <c r="B36" s="26" t="str">
        <f aca="false">IFERROR(INDEX(CONG_VIEC!$J$6:$J$305,MATCH(A36,CONG_VIEC!$AB$6:$AB$305,0)),"")</f>
        <v/>
      </c>
      <c r="C36" s="25" t="str">
        <f aca="false">IFERROR(INDEX(CONG_VIEC!$C$6:$C$305,MATCH(A36,CONG_VIEC!$AB$6:$AB$305,0))&amp;"","")</f>
        <v/>
      </c>
      <c r="D36" s="20" t="str">
        <f aca="false">IFERROR(INDEX(CONG_VIEC!$D$6:$D$305,MATCH(A36,CONG_VIEC!$AB$6:$AB$305,0))&amp;"","")</f>
        <v/>
      </c>
      <c r="E36" s="20" t="str">
        <f aca="false">IFERROR(INDEX(CONG_VIEC!$F$6:$F$305,MATCH(A36,CONG_VIEC!$AB$6:$AB$305,0))&amp;"","")</f>
        <v/>
      </c>
      <c r="F36" s="20" t="str">
        <f aca="false">IFERROR(INDEX(CONG_VIEC!$K$6:$K$305,MATCH(A36,CONG_VIEC!$AB$6:$AB$305,0))&amp;"","")</f>
        <v/>
      </c>
      <c r="G36" s="20" t="str">
        <f aca="false">IFERROR(INDEX(CONG_VIEC!$P$6:$P$305,MATCH(A36,CONG_VIEC!$AB$6:$AB$305,0))&amp;"","")</f>
        <v/>
      </c>
      <c r="H36" s="2"/>
    </row>
    <row r="37" customFormat="false" ht="15" hidden="false" customHeight="false" outlineLevel="0" collapsed="false">
      <c r="A37" s="24" t="n">
        <v>27</v>
      </c>
      <c r="B37" s="26" t="str">
        <f aca="false">IFERROR(INDEX(CONG_VIEC!$J$6:$J$305,MATCH(A37,CONG_VIEC!$AB$6:$AB$305,0)),"")</f>
        <v/>
      </c>
      <c r="C37" s="25" t="str">
        <f aca="false">IFERROR(INDEX(CONG_VIEC!$C$6:$C$305,MATCH(A37,CONG_VIEC!$AB$6:$AB$305,0))&amp;"","")</f>
        <v/>
      </c>
      <c r="D37" s="20" t="str">
        <f aca="false">IFERROR(INDEX(CONG_VIEC!$D$6:$D$305,MATCH(A37,CONG_VIEC!$AB$6:$AB$305,0))&amp;"","")</f>
        <v/>
      </c>
      <c r="E37" s="20" t="str">
        <f aca="false">IFERROR(INDEX(CONG_VIEC!$F$6:$F$305,MATCH(A37,CONG_VIEC!$AB$6:$AB$305,0))&amp;"","")</f>
        <v/>
      </c>
      <c r="F37" s="20" t="str">
        <f aca="false">IFERROR(INDEX(CONG_VIEC!$K$6:$K$305,MATCH(A37,CONG_VIEC!$AB$6:$AB$305,0))&amp;"","")</f>
        <v/>
      </c>
      <c r="G37" s="20" t="str">
        <f aca="false">IFERROR(INDEX(CONG_VIEC!$P$6:$P$305,MATCH(A37,CONG_VIEC!$AB$6:$AB$305,0))&amp;"","")</f>
        <v/>
      </c>
      <c r="H37" s="2"/>
    </row>
    <row r="38" customFormat="false" ht="15" hidden="false" customHeight="false" outlineLevel="0" collapsed="false">
      <c r="A38" s="24" t="n">
        <v>28</v>
      </c>
      <c r="B38" s="26" t="str">
        <f aca="false">IFERROR(INDEX(CONG_VIEC!$J$6:$J$305,MATCH(A38,CONG_VIEC!$AB$6:$AB$305,0)),"")</f>
        <v/>
      </c>
      <c r="C38" s="25" t="str">
        <f aca="false">IFERROR(INDEX(CONG_VIEC!$C$6:$C$305,MATCH(A38,CONG_VIEC!$AB$6:$AB$305,0))&amp;"","")</f>
        <v/>
      </c>
      <c r="D38" s="20" t="str">
        <f aca="false">IFERROR(INDEX(CONG_VIEC!$D$6:$D$305,MATCH(A38,CONG_VIEC!$AB$6:$AB$305,0))&amp;"","")</f>
        <v/>
      </c>
      <c r="E38" s="20" t="str">
        <f aca="false">IFERROR(INDEX(CONG_VIEC!$F$6:$F$305,MATCH(A38,CONG_VIEC!$AB$6:$AB$305,0))&amp;"","")</f>
        <v/>
      </c>
      <c r="F38" s="20" t="str">
        <f aca="false">IFERROR(INDEX(CONG_VIEC!$K$6:$K$305,MATCH(A38,CONG_VIEC!$AB$6:$AB$305,0))&amp;"","")</f>
        <v/>
      </c>
      <c r="G38" s="20" t="str">
        <f aca="false">IFERROR(INDEX(CONG_VIEC!$P$6:$P$305,MATCH(A38,CONG_VIEC!$AB$6:$AB$305,0))&amp;"","")</f>
        <v/>
      </c>
      <c r="H38" s="2"/>
    </row>
    <row r="39" customFormat="false" ht="15" hidden="false" customHeight="false" outlineLevel="0" collapsed="false">
      <c r="A39" s="24" t="n">
        <v>29</v>
      </c>
      <c r="B39" s="26" t="str">
        <f aca="false">IFERROR(INDEX(CONG_VIEC!$J$6:$J$305,MATCH(A39,CONG_VIEC!$AB$6:$AB$305,0)),"")</f>
        <v/>
      </c>
      <c r="C39" s="25" t="str">
        <f aca="false">IFERROR(INDEX(CONG_VIEC!$C$6:$C$305,MATCH(A39,CONG_VIEC!$AB$6:$AB$305,0))&amp;"","")</f>
        <v/>
      </c>
      <c r="D39" s="20" t="str">
        <f aca="false">IFERROR(INDEX(CONG_VIEC!$D$6:$D$305,MATCH(A39,CONG_VIEC!$AB$6:$AB$305,0))&amp;"","")</f>
        <v/>
      </c>
      <c r="E39" s="20" t="str">
        <f aca="false">IFERROR(INDEX(CONG_VIEC!$F$6:$F$305,MATCH(A39,CONG_VIEC!$AB$6:$AB$305,0))&amp;"","")</f>
        <v/>
      </c>
      <c r="F39" s="20" t="str">
        <f aca="false">IFERROR(INDEX(CONG_VIEC!$K$6:$K$305,MATCH(A39,CONG_VIEC!$AB$6:$AB$305,0))&amp;"","")</f>
        <v/>
      </c>
      <c r="G39" s="20" t="str">
        <f aca="false">IFERROR(INDEX(CONG_VIEC!$P$6:$P$305,MATCH(A39,CONG_VIEC!$AB$6:$AB$305,0))&amp;"","")</f>
        <v/>
      </c>
      <c r="H39" s="2"/>
    </row>
    <row r="40" customFormat="false" ht="15" hidden="false" customHeight="false" outlineLevel="0" collapsed="false">
      <c r="A40" s="24" t="n">
        <v>30</v>
      </c>
      <c r="B40" s="26" t="str">
        <f aca="false">IFERROR(INDEX(CONG_VIEC!$J$6:$J$305,MATCH(A40,CONG_VIEC!$AB$6:$AB$305,0)),"")</f>
        <v/>
      </c>
      <c r="C40" s="25" t="str">
        <f aca="false">IFERROR(INDEX(CONG_VIEC!$C$6:$C$305,MATCH(A40,CONG_VIEC!$AB$6:$AB$305,0))&amp;"","")</f>
        <v/>
      </c>
      <c r="D40" s="20" t="str">
        <f aca="false">IFERROR(INDEX(CONG_VIEC!$D$6:$D$305,MATCH(A40,CONG_VIEC!$AB$6:$AB$305,0))&amp;"","")</f>
        <v/>
      </c>
      <c r="E40" s="20" t="str">
        <f aca="false">IFERROR(INDEX(CONG_VIEC!$F$6:$F$305,MATCH(A40,CONG_VIEC!$AB$6:$AB$305,0))&amp;"","")</f>
        <v/>
      </c>
      <c r="F40" s="20" t="str">
        <f aca="false">IFERROR(INDEX(CONG_VIEC!$K$6:$K$305,MATCH(A40,CONG_VIEC!$AB$6:$AB$305,0))&amp;"","")</f>
        <v/>
      </c>
      <c r="G40" s="20" t="str">
        <f aca="false">IFERROR(INDEX(CONG_VIEC!$P$6:$P$305,MATCH(A40,CONG_VIEC!$AB$6:$AB$305,0))&amp;"","")</f>
        <v/>
      </c>
      <c r="H40" s="2"/>
    </row>
    <row r="41" customFormat="false" ht="15" hidden="false" customHeight="false" outlineLevel="0" collapsed="false">
      <c r="A41" s="24" t="n">
        <v>31</v>
      </c>
      <c r="B41" s="26" t="str">
        <f aca="false">IFERROR(INDEX(CONG_VIEC!$J$6:$J$305,MATCH(A41,CONG_VIEC!$AB$6:$AB$305,0)),"")</f>
        <v/>
      </c>
      <c r="C41" s="25" t="str">
        <f aca="false">IFERROR(INDEX(CONG_VIEC!$C$6:$C$305,MATCH(A41,CONG_VIEC!$AB$6:$AB$305,0))&amp;"","")</f>
        <v/>
      </c>
      <c r="D41" s="20" t="str">
        <f aca="false">IFERROR(INDEX(CONG_VIEC!$D$6:$D$305,MATCH(A41,CONG_VIEC!$AB$6:$AB$305,0))&amp;"","")</f>
        <v/>
      </c>
      <c r="E41" s="20" t="str">
        <f aca="false">IFERROR(INDEX(CONG_VIEC!$F$6:$F$305,MATCH(A41,CONG_VIEC!$AB$6:$AB$305,0))&amp;"","")</f>
        <v/>
      </c>
      <c r="F41" s="20" t="str">
        <f aca="false">IFERROR(INDEX(CONG_VIEC!$K$6:$K$305,MATCH(A41,CONG_VIEC!$AB$6:$AB$305,0))&amp;"","")</f>
        <v/>
      </c>
      <c r="G41" s="20" t="str">
        <f aca="false">IFERROR(INDEX(CONG_VIEC!$P$6:$P$305,MATCH(A41,CONG_VIEC!$AB$6:$AB$305,0))&amp;"","")</f>
        <v/>
      </c>
      <c r="H41" s="2"/>
    </row>
    <row r="42" customFormat="false" ht="15" hidden="false" customHeight="false" outlineLevel="0" collapsed="false">
      <c r="A42" s="24" t="n">
        <v>32</v>
      </c>
      <c r="B42" s="26" t="str">
        <f aca="false">IFERROR(INDEX(CONG_VIEC!$J$6:$J$305,MATCH(A42,CONG_VIEC!$AB$6:$AB$305,0)),"")</f>
        <v/>
      </c>
      <c r="C42" s="25" t="str">
        <f aca="false">IFERROR(INDEX(CONG_VIEC!$C$6:$C$305,MATCH(A42,CONG_VIEC!$AB$6:$AB$305,0))&amp;"","")</f>
        <v/>
      </c>
      <c r="D42" s="20" t="str">
        <f aca="false">IFERROR(INDEX(CONG_VIEC!$D$6:$D$305,MATCH(A42,CONG_VIEC!$AB$6:$AB$305,0))&amp;"","")</f>
        <v/>
      </c>
      <c r="E42" s="20" t="str">
        <f aca="false">IFERROR(INDEX(CONG_VIEC!$F$6:$F$305,MATCH(A42,CONG_VIEC!$AB$6:$AB$305,0))&amp;"","")</f>
        <v/>
      </c>
      <c r="F42" s="20" t="str">
        <f aca="false">IFERROR(INDEX(CONG_VIEC!$K$6:$K$305,MATCH(A42,CONG_VIEC!$AB$6:$AB$305,0))&amp;"","")</f>
        <v/>
      </c>
      <c r="G42" s="20" t="str">
        <f aca="false">IFERROR(INDEX(CONG_VIEC!$P$6:$P$305,MATCH(A42,CONG_VIEC!$AB$6:$AB$305,0))&amp;"","")</f>
        <v/>
      </c>
      <c r="H42" s="2"/>
    </row>
    <row r="43" customFormat="false" ht="15" hidden="false" customHeight="false" outlineLevel="0" collapsed="false">
      <c r="A43" s="24" t="n">
        <v>33</v>
      </c>
      <c r="B43" s="26" t="str">
        <f aca="false">IFERROR(INDEX(CONG_VIEC!$J$6:$J$305,MATCH(A43,CONG_VIEC!$AB$6:$AB$305,0)),"")</f>
        <v/>
      </c>
      <c r="C43" s="25" t="str">
        <f aca="false">IFERROR(INDEX(CONG_VIEC!$C$6:$C$305,MATCH(A43,CONG_VIEC!$AB$6:$AB$305,0))&amp;"","")</f>
        <v/>
      </c>
      <c r="D43" s="20" t="str">
        <f aca="false">IFERROR(INDEX(CONG_VIEC!$D$6:$D$305,MATCH(A43,CONG_VIEC!$AB$6:$AB$305,0))&amp;"","")</f>
        <v/>
      </c>
      <c r="E43" s="20" t="str">
        <f aca="false">IFERROR(INDEX(CONG_VIEC!$F$6:$F$305,MATCH(A43,CONG_VIEC!$AB$6:$AB$305,0))&amp;"","")</f>
        <v/>
      </c>
      <c r="F43" s="20" t="str">
        <f aca="false">IFERROR(INDEX(CONG_VIEC!$K$6:$K$305,MATCH(A43,CONG_VIEC!$AB$6:$AB$305,0))&amp;"","")</f>
        <v/>
      </c>
      <c r="G43" s="20" t="str">
        <f aca="false">IFERROR(INDEX(CONG_VIEC!$P$6:$P$305,MATCH(A43,CONG_VIEC!$AB$6:$AB$305,0))&amp;"","")</f>
        <v/>
      </c>
      <c r="H43" s="2"/>
    </row>
    <row r="44" customFormat="false" ht="15" hidden="false" customHeight="false" outlineLevel="0" collapsed="false">
      <c r="A44" s="24" t="n">
        <v>34</v>
      </c>
      <c r="B44" s="26" t="str">
        <f aca="false">IFERROR(INDEX(CONG_VIEC!$J$6:$J$305,MATCH(A44,CONG_VIEC!$AB$6:$AB$305,0)),"")</f>
        <v/>
      </c>
      <c r="C44" s="25" t="str">
        <f aca="false">IFERROR(INDEX(CONG_VIEC!$C$6:$C$305,MATCH(A44,CONG_VIEC!$AB$6:$AB$305,0))&amp;"","")</f>
        <v/>
      </c>
      <c r="D44" s="20" t="str">
        <f aca="false">IFERROR(INDEX(CONG_VIEC!$D$6:$D$305,MATCH(A44,CONG_VIEC!$AB$6:$AB$305,0))&amp;"","")</f>
        <v/>
      </c>
      <c r="E44" s="20" t="str">
        <f aca="false">IFERROR(INDEX(CONG_VIEC!$F$6:$F$305,MATCH(A44,CONG_VIEC!$AB$6:$AB$305,0))&amp;"","")</f>
        <v/>
      </c>
      <c r="F44" s="20" t="str">
        <f aca="false">IFERROR(INDEX(CONG_VIEC!$K$6:$K$305,MATCH(A44,CONG_VIEC!$AB$6:$AB$305,0))&amp;"","")</f>
        <v/>
      </c>
      <c r="G44" s="20" t="str">
        <f aca="false">IFERROR(INDEX(CONG_VIEC!$P$6:$P$305,MATCH(A44,CONG_VIEC!$AB$6:$AB$305,0))&amp;"","")</f>
        <v/>
      </c>
      <c r="H44" s="2"/>
    </row>
    <row r="45" customFormat="false" ht="15" hidden="false" customHeight="false" outlineLevel="0" collapsed="false">
      <c r="A45" s="24" t="n">
        <v>35</v>
      </c>
      <c r="B45" s="26" t="str">
        <f aca="false">IFERROR(INDEX(CONG_VIEC!$J$6:$J$305,MATCH(A45,CONG_VIEC!$AB$6:$AB$305,0)),"")</f>
        <v/>
      </c>
      <c r="C45" s="25" t="str">
        <f aca="false">IFERROR(INDEX(CONG_VIEC!$C$6:$C$305,MATCH(A45,CONG_VIEC!$AB$6:$AB$305,0))&amp;"","")</f>
        <v/>
      </c>
      <c r="D45" s="20" t="str">
        <f aca="false">IFERROR(INDEX(CONG_VIEC!$D$6:$D$305,MATCH(A45,CONG_VIEC!$AB$6:$AB$305,0))&amp;"","")</f>
        <v/>
      </c>
      <c r="E45" s="20" t="str">
        <f aca="false">IFERROR(INDEX(CONG_VIEC!$F$6:$F$305,MATCH(A45,CONG_VIEC!$AB$6:$AB$305,0))&amp;"","")</f>
        <v/>
      </c>
      <c r="F45" s="20" t="str">
        <f aca="false">IFERROR(INDEX(CONG_VIEC!$K$6:$K$305,MATCH(A45,CONG_VIEC!$AB$6:$AB$305,0))&amp;"","")</f>
        <v/>
      </c>
      <c r="G45" s="20" t="str">
        <f aca="false">IFERROR(INDEX(CONG_VIEC!$P$6:$P$305,MATCH(A45,CONG_VIEC!$AB$6:$AB$305,0))&amp;"","")</f>
        <v/>
      </c>
      <c r="H45" s="2"/>
    </row>
    <row r="46" customFormat="false" ht="15" hidden="false" customHeight="false" outlineLevel="0" collapsed="false">
      <c r="A46" s="24" t="n">
        <v>36</v>
      </c>
      <c r="B46" s="26" t="str">
        <f aca="false">IFERROR(INDEX(CONG_VIEC!$J$6:$J$305,MATCH(A46,CONG_VIEC!$AB$6:$AB$305,0)),"")</f>
        <v/>
      </c>
      <c r="C46" s="25" t="str">
        <f aca="false">IFERROR(INDEX(CONG_VIEC!$C$6:$C$305,MATCH(A46,CONG_VIEC!$AB$6:$AB$305,0))&amp;"","")</f>
        <v/>
      </c>
      <c r="D46" s="20" t="str">
        <f aca="false">IFERROR(INDEX(CONG_VIEC!$D$6:$D$305,MATCH(A46,CONG_VIEC!$AB$6:$AB$305,0))&amp;"","")</f>
        <v/>
      </c>
      <c r="E46" s="20" t="str">
        <f aca="false">IFERROR(INDEX(CONG_VIEC!$F$6:$F$305,MATCH(A46,CONG_VIEC!$AB$6:$AB$305,0))&amp;"","")</f>
        <v/>
      </c>
      <c r="F46" s="20" t="str">
        <f aca="false">IFERROR(INDEX(CONG_VIEC!$K$6:$K$305,MATCH(A46,CONG_VIEC!$AB$6:$AB$305,0))&amp;"","")</f>
        <v/>
      </c>
      <c r="G46" s="20" t="str">
        <f aca="false">IFERROR(INDEX(CONG_VIEC!$P$6:$P$305,MATCH(A46,CONG_VIEC!$AB$6:$AB$305,0))&amp;"","")</f>
        <v/>
      </c>
      <c r="H46" s="2"/>
    </row>
    <row r="47" customFormat="false" ht="15" hidden="false" customHeight="false" outlineLevel="0" collapsed="false">
      <c r="A47" s="24" t="n">
        <v>37</v>
      </c>
      <c r="B47" s="26" t="str">
        <f aca="false">IFERROR(INDEX(CONG_VIEC!$J$6:$J$305,MATCH(A47,CONG_VIEC!$AB$6:$AB$305,0)),"")</f>
        <v/>
      </c>
      <c r="C47" s="25" t="str">
        <f aca="false">IFERROR(INDEX(CONG_VIEC!$C$6:$C$305,MATCH(A47,CONG_VIEC!$AB$6:$AB$305,0))&amp;"","")</f>
        <v/>
      </c>
      <c r="D47" s="20" t="str">
        <f aca="false">IFERROR(INDEX(CONG_VIEC!$D$6:$D$305,MATCH(A47,CONG_VIEC!$AB$6:$AB$305,0))&amp;"","")</f>
        <v/>
      </c>
      <c r="E47" s="20" t="str">
        <f aca="false">IFERROR(INDEX(CONG_VIEC!$F$6:$F$305,MATCH(A47,CONG_VIEC!$AB$6:$AB$305,0))&amp;"","")</f>
        <v/>
      </c>
      <c r="F47" s="20" t="str">
        <f aca="false">IFERROR(INDEX(CONG_VIEC!$K$6:$K$305,MATCH(A47,CONG_VIEC!$AB$6:$AB$305,0))&amp;"","")</f>
        <v/>
      </c>
      <c r="G47" s="20" t="str">
        <f aca="false">IFERROR(INDEX(CONG_VIEC!$P$6:$P$305,MATCH(A47,CONG_VIEC!$AB$6:$AB$305,0))&amp;"","")</f>
        <v/>
      </c>
      <c r="H47" s="2"/>
    </row>
    <row r="48" customFormat="false" ht="15" hidden="false" customHeight="false" outlineLevel="0" collapsed="false">
      <c r="A48" s="24" t="n">
        <v>38</v>
      </c>
      <c r="B48" s="26" t="str">
        <f aca="false">IFERROR(INDEX(CONG_VIEC!$J$6:$J$305,MATCH(A48,CONG_VIEC!$AB$6:$AB$305,0)),"")</f>
        <v/>
      </c>
      <c r="C48" s="25" t="str">
        <f aca="false">IFERROR(INDEX(CONG_VIEC!$C$6:$C$305,MATCH(A48,CONG_VIEC!$AB$6:$AB$305,0))&amp;"","")</f>
        <v/>
      </c>
      <c r="D48" s="20" t="str">
        <f aca="false">IFERROR(INDEX(CONG_VIEC!$D$6:$D$305,MATCH(A48,CONG_VIEC!$AB$6:$AB$305,0))&amp;"","")</f>
        <v/>
      </c>
      <c r="E48" s="20" t="str">
        <f aca="false">IFERROR(INDEX(CONG_VIEC!$F$6:$F$305,MATCH(A48,CONG_VIEC!$AB$6:$AB$305,0))&amp;"","")</f>
        <v/>
      </c>
      <c r="F48" s="20" t="str">
        <f aca="false">IFERROR(INDEX(CONG_VIEC!$K$6:$K$305,MATCH(A48,CONG_VIEC!$AB$6:$AB$305,0))&amp;"","")</f>
        <v/>
      </c>
      <c r="G48" s="20" t="str">
        <f aca="false">IFERROR(INDEX(CONG_VIEC!$P$6:$P$305,MATCH(A48,CONG_VIEC!$AB$6:$AB$305,0))&amp;"","")</f>
        <v/>
      </c>
      <c r="H48" s="2"/>
    </row>
    <row r="49" customFormat="false" ht="15" hidden="false" customHeight="false" outlineLevel="0" collapsed="false">
      <c r="A49" s="24" t="n">
        <v>39</v>
      </c>
      <c r="B49" s="26" t="str">
        <f aca="false">IFERROR(INDEX(CONG_VIEC!$J$6:$J$305,MATCH(A49,CONG_VIEC!$AB$6:$AB$305,0)),"")</f>
        <v/>
      </c>
      <c r="C49" s="25" t="str">
        <f aca="false">IFERROR(INDEX(CONG_VIEC!$C$6:$C$305,MATCH(A49,CONG_VIEC!$AB$6:$AB$305,0))&amp;"","")</f>
        <v/>
      </c>
      <c r="D49" s="20" t="str">
        <f aca="false">IFERROR(INDEX(CONG_VIEC!$D$6:$D$305,MATCH(A49,CONG_VIEC!$AB$6:$AB$305,0))&amp;"","")</f>
        <v/>
      </c>
      <c r="E49" s="20" t="str">
        <f aca="false">IFERROR(INDEX(CONG_VIEC!$F$6:$F$305,MATCH(A49,CONG_VIEC!$AB$6:$AB$305,0))&amp;"","")</f>
        <v/>
      </c>
      <c r="F49" s="20" t="str">
        <f aca="false">IFERROR(INDEX(CONG_VIEC!$K$6:$K$305,MATCH(A49,CONG_VIEC!$AB$6:$AB$305,0))&amp;"","")</f>
        <v/>
      </c>
      <c r="G49" s="20" t="str">
        <f aca="false">IFERROR(INDEX(CONG_VIEC!$P$6:$P$305,MATCH(A49,CONG_VIEC!$AB$6:$AB$305,0))&amp;"","")</f>
        <v/>
      </c>
      <c r="H49" s="2"/>
    </row>
    <row r="50" customFormat="false" ht="15" hidden="false" customHeight="false" outlineLevel="0" collapsed="false">
      <c r="A50" s="24" t="n">
        <v>40</v>
      </c>
      <c r="B50" s="26" t="str">
        <f aca="false">IFERROR(INDEX(CONG_VIEC!$J$6:$J$305,MATCH(A50,CONG_VIEC!$AB$6:$AB$305,0)),"")</f>
        <v/>
      </c>
      <c r="C50" s="25" t="str">
        <f aca="false">IFERROR(INDEX(CONG_VIEC!$C$6:$C$305,MATCH(A50,CONG_VIEC!$AB$6:$AB$305,0))&amp;"","")</f>
        <v/>
      </c>
      <c r="D50" s="20" t="str">
        <f aca="false">IFERROR(INDEX(CONG_VIEC!$D$6:$D$305,MATCH(A50,CONG_VIEC!$AB$6:$AB$305,0))&amp;"","")</f>
        <v/>
      </c>
      <c r="E50" s="20" t="str">
        <f aca="false">IFERROR(INDEX(CONG_VIEC!$F$6:$F$305,MATCH(A50,CONG_VIEC!$AB$6:$AB$305,0))&amp;"","")</f>
        <v/>
      </c>
      <c r="F50" s="20" t="str">
        <f aca="false">IFERROR(INDEX(CONG_VIEC!$K$6:$K$305,MATCH(A50,CONG_VIEC!$AB$6:$AB$305,0))&amp;"","")</f>
        <v/>
      </c>
      <c r="G50" s="20" t="str">
        <f aca="false">IFERROR(INDEX(CONG_VIEC!$P$6:$P$305,MATCH(A50,CONG_VIEC!$AB$6:$AB$305,0))&amp;"","")</f>
        <v/>
      </c>
      <c r="H50" s="2"/>
    </row>
    <row r="51" customFormat="false" ht="15" hidden="false" customHeight="false" outlineLevel="0" collapsed="false">
      <c r="A51" s="24" t="n">
        <v>41</v>
      </c>
      <c r="B51" s="26" t="str">
        <f aca="false">IFERROR(INDEX(CONG_VIEC!$J$6:$J$305,MATCH(A51,CONG_VIEC!$AB$6:$AB$305,0)),"")</f>
        <v/>
      </c>
      <c r="C51" s="25" t="str">
        <f aca="false">IFERROR(INDEX(CONG_VIEC!$C$6:$C$305,MATCH(A51,CONG_VIEC!$AB$6:$AB$305,0))&amp;"","")</f>
        <v/>
      </c>
      <c r="D51" s="20" t="str">
        <f aca="false">IFERROR(INDEX(CONG_VIEC!$D$6:$D$305,MATCH(A51,CONG_VIEC!$AB$6:$AB$305,0))&amp;"","")</f>
        <v/>
      </c>
      <c r="E51" s="20" t="str">
        <f aca="false">IFERROR(INDEX(CONG_VIEC!$F$6:$F$305,MATCH(A51,CONG_VIEC!$AB$6:$AB$305,0))&amp;"","")</f>
        <v/>
      </c>
      <c r="F51" s="20" t="str">
        <f aca="false">IFERROR(INDEX(CONG_VIEC!$K$6:$K$305,MATCH(A51,CONG_VIEC!$AB$6:$AB$305,0))&amp;"","")</f>
        <v/>
      </c>
      <c r="G51" s="20" t="str">
        <f aca="false">IFERROR(INDEX(CONG_VIEC!$P$6:$P$305,MATCH(A51,CONG_VIEC!$AB$6:$AB$305,0))&amp;"","")</f>
        <v/>
      </c>
      <c r="H51" s="2"/>
    </row>
    <row r="52" customFormat="false" ht="15" hidden="false" customHeight="false" outlineLevel="0" collapsed="false">
      <c r="A52" s="24" t="n">
        <v>42</v>
      </c>
      <c r="B52" s="26" t="str">
        <f aca="false">IFERROR(INDEX(CONG_VIEC!$J$6:$J$305,MATCH(A52,CONG_VIEC!$AB$6:$AB$305,0)),"")</f>
        <v/>
      </c>
      <c r="C52" s="25" t="str">
        <f aca="false">IFERROR(INDEX(CONG_VIEC!$C$6:$C$305,MATCH(A52,CONG_VIEC!$AB$6:$AB$305,0))&amp;"","")</f>
        <v/>
      </c>
      <c r="D52" s="20" t="str">
        <f aca="false">IFERROR(INDEX(CONG_VIEC!$D$6:$D$305,MATCH(A52,CONG_VIEC!$AB$6:$AB$305,0))&amp;"","")</f>
        <v/>
      </c>
      <c r="E52" s="20" t="str">
        <f aca="false">IFERROR(INDEX(CONG_VIEC!$F$6:$F$305,MATCH(A52,CONG_VIEC!$AB$6:$AB$305,0))&amp;"","")</f>
        <v/>
      </c>
      <c r="F52" s="20" t="str">
        <f aca="false">IFERROR(INDEX(CONG_VIEC!$K$6:$K$305,MATCH(A52,CONG_VIEC!$AB$6:$AB$305,0))&amp;"","")</f>
        <v/>
      </c>
      <c r="G52" s="20" t="str">
        <f aca="false">IFERROR(INDEX(CONG_VIEC!$P$6:$P$305,MATCH(A52,CONG_VIEC!$AB$6:$AB$305,0))&amp;"","")</f>
        <v/>
      </c>
      <c r="H52" s="2"/>
    </row>
    <row r="53" customFormat="false" ht="15" hidden="false" customHeight="false" outlineLevel="0" collapsed="false">
      <c r="A53" s="24" t="n">
        <v>43</v>
      </c>
      <c r="B53" s="26" t="str">
        <f aca="false">IFERROR(INDEX(CONG_VIEC!$J$6:$J$305,MATCH(A53,CONG_VIEC!$AB$6:$AB$305,0)),"")</f>
        <v/>
      </c>
      <c r="C53" s="25" t="str">
        <f aca="false">IFERROR(INDEX(CONG_VIEC!$C$6:$C$305,MATCH(A53,CONG_VIEC!$AB$6:$AB$305,0))&amp;"","")</f>
        <v/>
      </c>
      <c r="D53" s="20" t="str">
        <f aca="false">IFERROR(INDEX(CONG_VIEC!$D$6:$D$305,MATCH(A53,CONG_VIEC!$AB$6:$AB$305,0))&amp;"","")</f>
        <v/>
      </c>
      <c r="E53" s="20" t="str">
        <f aca="false">IFERROR(INDEX(CONG_VIEC!$F$6:$F$305,MATCH(A53,CONG_VIEC!$AB$6:$AB$305,0))&amp;"","")</f>
        <v/>
      </c>
      <c r="F53" s="20" t="str">
        <f aca="false">IFERROR(INDEX(CONG_VIEC!$K$6:$K$305,MATCH(A53,CONG_VIEC!$AB$6:$AB$305,0))&amp;"","")</f>
        <v/>
      </c>
      <c r="G53" s="20" t="str">
        <f aca="false">IFERROR(INDEX(CONG_VIEC!$P$6:$P$305,MATCH(A53,CONG_VIEC!$AB$6:$AB$305,0))&amp;"","")</f>
        <v/>
      </c>
      <c r="H53" s="2"/>
    </row>
    <row r="54" customFormat="false" ht="15" hidden="false" customHeight="false" outlineLevel="0" collapsed="false">
      <c r="A54" s="24" t="n">
        <v>44</v>
      </c>
      <c r="B54" s="26" t="str">
        <f aca="false">IFERROR(INDEX(CONG_VIEC!$J$6:$J$305,MATCH(A54,CONG_VIEC!$AB$6:$AB$305,0)),"")</f>
        <v/>
      </c>
      <c r="C54" s="25" t="str">
        <f aca="false">IFERROR(INDEX(CONG_VIEC!$C$6:$C$305,MATCH(A54,CONG_VIEC!$AB$6:$AB$305,0))&amp;"","")</f>
        <v/>
      </c>
      <c r="D54" s="20" t="str">
        <f aca="false">IFERROR(INDEX(CONG_VIEC!$D$6:$D$305,MATCH(A54,CONG_VIEC!$AB$6:$AB$305,0))&amp;"","")</f>
        <v/>
      </c>
      <c r="E54" s="20" t="str">
        <f aca="false">IFERROR(INDEX(CONG_VIEC!$F$6:$F$305,MATCH(A54,CONG_VIEC!$AB$6:$AB$305,0))&amp;"","")</f>
        <v/>
      </c>
      <c r="F54" s="20" t="str">
        <f aca="false">IFERROR(INDEX(CONG_VIEC!$K$6:$K$305,MATCH(A54,CONG_VIEC!$AB$6:$AB$305,0))&amp;"","")</f>
        <v/>
      </c>
      <c r="G54" s="20" t="str">
        <f aca="false">IFERROR(INDEX(CONG_VIEC!$P$6:$P$305,MATCH(A54,CONG_VIEC!$AB$6:$AB$305,0))&amp;"","")</f>
        <v/>
      </c>
      <c r="H54" s="2"/>
    </row>
    <row r="55" customFormat="false" ht="15" hidden="false" customHeight="false" outlineLevel="0" collapsed="false">
      <c r="A55" s="24" t="n">
        <v>45</v>
      </c>
      <c r="B55" s="26" t="str">
        <f aca="false">IFERROR(INDEX(CONG_VIEC!$J$6:$J$305,MATCH(A55,CONG_VIEC!$AB$6:$AB$305,0)),"")</f>
        <v/>
      </c>
      <c r="C55" s="25" t="str">
        <f aca="false">IFERROR(INDEX(CONG_VIEC!$C$6:$C$305,MATCH(A55,CONG_VIEC!$AB$6:$AB$305,0))&amp;"","")</f>
        <v/>
      </c>
      <c r="D55" s="20" t="str">
        <f aca="false">IFERROR(INDEX(CONG_VIEC!$D$6:$D$305,MATCH(A55,CONG_VIEC!$AB$6:$AB$305,0))&amp;"","")</f>
        <v/>
      </c>
      <c r="E55" s="20" t="str">
        <f aca="false">IFERROR(INDEX(CONG_VIEC!$F$6:$F$305,MATCH(A55,CONG_VIEC!$AB$6:$AB$305,0))&amp;"","")</f>
        <v/>
      </c>
      <c r="F55" s="20" t="str">
        <f aca="false">IFERROR(INDEX(CONG_VIEC!$K$6:$K$305,MATCH(A55,CONG_VIEC!$AB$6:$AB$305,0))&amp;"","")</f>
        <v/>
      </c>
      <c r="G55" s="20" t="str">
        <f aca="false">IFERROR(INDEX(CONG_VIEC!$P$6:$P$305,MATCH(A55,CONG_VIEC!$AB$6:$AB$305,0))&amp;"","")</f>
        <v/>
      </c>
      <c r="H55" s="2"/>
    </row>
    <row r="56" customFormat="false" ht="15" hidden="false" customHeight="false" outlineLevel="0" collapsed="false">
      <c r="A56" s="24" t="n">
        <v>46</v>
      </c>
      <c r="B56" s="26" t="str">
        <f aca="false">IFERROR(INDEX(CONG_VIEC!$J$6:$J$305,MATCH(A56,CONG_VIEC!$AB$6:$AB$305,0)),"")</f>
        <v/>
      </c>
      <c r="C56" s="25" t="str">
        <f aca="false">IFERROR(INDEX(CONG_VIEC!$C$6:$C$305,MATCH(A56,CONG_VIEC!$AB$6:$AB$305,0))&amp;"","")</f>
        <v/>
      </c>
      <c r="D56" s="20" t="str">
        <f aca="false">IFERROR(INDEX(CONG_VIEC!$D$6:$D$305,MATCH(A56,CONG_VIEC!$AB$6:$AB$305,0))&amp;"","")</f>
        <v/>
      </c>
      <c r="E56" s="20" t="str">
        <f aca="false">IFERROR(INDEX(CONG_VIEC!$F$6:$F$305,MATCH(A56,CONG_VIEC!$AB$6:$AB$305,0))&amp;"","")</f>
        <v/>
      </c>
      <c r="F56" s="20" t="str">
        <f aca="false">IFERROR(INDEX(CONG_VIEC!$K$6:$K$305,MATCH(A56,CONG_VIEC!$AB$6:$AB$305,0))&amp;"","")</f>
        <v/>
      </c>
      <c r="G56" s="20" t="str">
        <f aca="false">IFERROR(INDEX(CONG_VIEC!$P$6:$P$305,MATCH(A56,CONG_VIEC!$AB$6:$AB$305,0))&amp;"","")</f>
        <v/>
      </c>
      <c r="H56" s="2"/>
    </row>
    <row r="57" customFormat="false" ht="15" hidden="false" customHeight="false" outlineLevel="0" collapsed="false">
      <c r="A57" s="24" t="n">
        <v>47</v>
      </c>
      <c r="B57" s="26" t="str">
        <f aca="false">IFERROR(INDEX(CONG_VIEC!$J$6:$J$305,MATCH(A57,CONG_VIEC!$AB$6:$AB$305,0)),"")</f>
        <v/>
      </c>
      <c r="C57" s="25" t="str">
        <f aca="false">IFERROR(INDEX(CONG_VIEC!$C$6:$C$305,MATCH(A57,CONG_VIEC!$AB$6:$AB$305,0))&amp;"","")</f>
        <v/>
      </c>
      <c r="D57" s="20" t="str">
        <f aca="false">IFERROR(INDEX(CONG_VIEC!$D$6:$D$305,MATCH(A57,CONG_VIEC!$AB$6:$AB$305,0))&amp;"","")</f>
        <v/>
      </c>
      <c r="E57" s="20" t="str">
        <f aca="false">IFERROR(INDEX(CONG_VIEC!$F$6:$F$305,MATCH(A57,CONG_VIEC!$AB$6:$AB$305,0))&amp;"","")</f>
        <v/>
      </c>
      <c r="F57" s="20" t="str">
        <f aca="false">IFERROR(INDEX(CONG_VIEC!$K$6:$K$305,MATCH(A57,CONG_VIEC!$AB$6:$AB$305,0))&amp;"","")</f>
        <v/>
      </c>
      <c r="G57" s="20" t="str">
        <f aca="false">IFERROR(INDEX(CONG_VIEC!$P$6:$P$305,MATCH(A57,CONG_VIEC!$AB$6:$AB$305,0))&amp;"","")</f>
        <v/>
      </c>
      <c r="H57" s="2"/>
    </row>
    <row r="58" customFormat="false" ht="15" hidden="false" customHeight="false" outlineLevel="0" collapsed="false">
      <c r="A58" s="24" t="n">
        <v>48</v>
      </c>
      <c r="B58" s="26" t="str">
        <f aca="false">IFERROR(INDEX(CONG_VIEC!$J$6:$J$305,MATCH(A58,CONG_VIEC!$AB$6:$AB$305,0)),"")</f>
        <v/>
      </c>
      <c r="C58" s="25" t="str">
        <f aca="false">IFERROR(INDEX(CONG_VIEC!$C$6:$C$305,MATCH(A58,CONG_VIEC!$AB$6:$AB$305,0))&amp;"","")</f>
        <v/>
      </c>
      <c r="D58" s="20" t="str">
        <f aca="false">IFERROR(INDEX(CONG_VIEC!$D$6:$D$305,MATCH(A58,CONG_VIEC!$AB$6:$AB$305,0))&amp;"","")</f>
        <v/>
      </c>
      <c r="E58" s="20" t="str">
        <f aca="false">IFERROR(INDEX(CONG_VIEC!$F$6:$F$305,MATCH(A58,CONG_VIEC!$AB$6:$AB$305,0))&amp;"","")</f>
        <v/>
      </c>
      <c r="F58" s="20" t="str">
        <f aca="false">IFERROR(INDEX(CONG_VIEC!$K$6:$K$305,MATCH(A58,CONG_VIEC!$AB$6:$AB$305,0))&amp;"","")</f>
        <v/>
      </c>
      <c r="G58" s="20" t="str">
        <f aca="false">IFERROR(INDEX(CONG_VIEC!$P$6:$P$305,MATCH(A58,CONG_VIEC!$AB$6:$AB$305,0))&amp;"","")</f>
        <v/>
      </c>
      <c r="H58" s="2"/>
    </row>
    <row r="59" customFormat="false" ht="15" hidden="false" customHeight="false" outlineLevel="0" collapsed="false">
      <c r="A59" s="24" t="n">
        <v>49</v>
      </c>
      <c r="B59" s="26" t="str">
        <f aca="false">IFERROR(INDEX(CONG_VIEC!$J$6:$J$305,MATCH(A59,CONG_VIEC!$AB$6:$AB$305,0)),"")</f>
        <v/>
      </c>
      <c r="C59" s="25" t="str">
        <f aca="false">IFERROR(INDEX(CONG_VIEC!$C$6:$C$305,MATCH(A59,CONG_VIEC!$AB$6:$AB$305,0))&amp;"","")</f>
        <v/>
      </c>
      <c r="D59" s="20" t="str">
        <f aca="false">IFERROR(INDEX(CONG_VIEC!$D$6:$D$305,MATCH(A59,CONG_VIEC!$AB$6:$AB$305,0))&amp;"","")</f>
        <v/>
      </c>
      <c r="E59" s="20" t="str">
        <f aca="false">IFERROR(INDEX(CONG_VIEC!$F$6:$F$305,MATCH(A59,CONG_VIEC!$AB$6:$AB$305,0))&amp;"","")</f>
        <v/>
      </c>
      <c r="F59" s="20" t="str">
        <f aca="false">IFERROR(INDEX(CONG_VIEC!$K$6:$K$305,MATCH(A59,CONG_VIEC!$AB$6:$AB$305,0))&amp;"","")</f>
        <v/>
      </c>
      <c r="G59" s="20" t="str">
        <f aca="false">IFERROR(INDEX(CONG_VIEC!$P$6:$P$305,MATCH(A59,CONG_VIEC!$AB$6:$AB$305,0))&amp;"","")</f>
        <v/>
      </c>
      <c r="H59" s="2"/>
    </row>
    <row r="60" customFormat="false" ht="15" hidden="false" customHeight="false" outlineLevel="0" collapsed="false">
      <c r="A60" s="24" t="n">
        <v>50</v>
      </c>
      <c r="B60" s="26" t="str">
        <f aca="false">IFERROR(INDEX(CONG_VIEC!$J$6:$J$305,MATCH(A60,CONG_VIEC!$AB$6:$AB$305,0)),"")</f>
        <v/>
      </c>
      <c r="C60" s="25" t="str">
        <f aca="false">IFERROR(INDEX(CONG_VIEC!$C$6:$C$305,MATCH(A60,CONG_VIEC!$AB$6:$AB$305,0))&amp;"","")</f>
        <v/>
      </c>
      <c r="D60" s="20" t="str">
        <f aca="false">IFERROR(INDEX(CONG_VIEC!$D$6:$D$305,MATCH(A60,CONG_VIEC!$AB$6:$AB$305,0))&amp;"","")</f>
        <v/>
      </c>
      <c r="E60" s="20" t="str">
        <f aca="false">IFERROR(INDEX(CONG_VIEC!$F$6:$F$305,MATCH(A60,CONG_VIEC!$AB$6:$AB$305,0))&amp;"","")</f>
        <v/>
      </c>
      <c r="F60" s="20" t="str">
        <f aca="false">IFERROR(INDEX(CONG_VIEC!$K$6:$K$305,MATCH(A60,CONG_VIEC!$AB$6:$AB$305,0))&amp;"","")</f>
        <v/>
      </c>
      <c r="G60" s="20" t="str">
        <f aca="false">IFERROR(INDEX(CONG_VIEC!$P$6:$P$305,MATCH(A60,CONG_VIEC!$AB$6:$AB$305,0))&amp;"","")</f>
        <v/>
      </c>
      <c r="H60" s="2"/>
    </row>
    <row r="61" customFormat="false" ht="15" hidden="false" customHeight="false" outlineLevel="0" collapsed="false">
      <c r="A61" s="24" t="n">
        <v>51</v>
      </c>
      <c r="B61" s="26" t="str">
        <f aca="false">IFERROR(INDEX(CONG_VIEC!$J$6:$J$305,MATCH(A61,CONG_VIEC!$AB$6:$AB$305,0)),"")</f>
        <v/>
      </c>
      <c r="C61" s="25" t="str">
        <f aca="false">IFERROR(INDEX(CONG_VIEC!$C$6:$C$305,MATCH(A61,CONG_VIEC!$AB$6:$AB$305,0))&amp;"","")</f>
        <v/>
      </c>
      <c r="D61" s="20" t="str">
        <f aca="false">IFERROR(INDEX(CONG_VIEC!$D$6:$D$305,MATCH(A61,CONG_VIEC!$AB$6:$AB$305,0))&amp;"","")</f>
        <v/>
      </c>
      <c r="E61" s="20" t="str">
        <f aca="false">IFERROR(INDEX(CONG_VIEC!$F$6:$F$305,MATCH(A61,CONG_VIEC!$AB$6:$AB$305,0))&amp;"","")</f>
        <v/>
      </c>
      <c r="F61" s="20" t="str">
        <f aca="false">IFERROR(INDEX(CONG_VIEC!$K$6:$K$305,MATCH(A61,CONG_VIEC!$AB$6:$AB$305,0))&amp;"","")</f>
        <v/>
      </c>
      <c r="G61" s="20" t="str">
        <f aca="false">IFERROR(INDEX(CONG_VIEC!$P$6:$P$305,MATCH(A61,CONG_VIEC!$AB$6:$AB$305,0))&amp;"","")</f>
        <v/>
      </c>
      <c r="H61" s="2"/>
    </row>
    <row r="62" customFormat="false" ht="15" hidden="false" customHeight="false" outlineLevel="0" collapsed="false">
      <c r="A62" s="24" t="n">
        <v>52</v>
      </c>
      <c r="B62" s="26" t="str">
        <f aca="false">IFERROR(INDEX(CONG_VIEC!$J$6:$J$305,MATCH(A62,CONG_VIEC!$AB$6:$AB$305,0)),"")</f>
        <v/>
      </c>
      <c r="C62" s="25" t="str">
        <f aca="false">IFERROR(INDEX(CONG_VIEC!$C$6:$C$305,MATCH(A62,CONG_VIEC!$AB$6:$AB$305,0))&amp;"","")</f>
        <v/>
      </c>
      <c r="D62" s="20" t="str">
        <f aca="false">IFERROR(INDEX(CONG_VIEC!$D$6:$D$305,MATCH(A62,CONG_VIEC!$AB$6:$AB$305,0))&amp;"","")</f>
        <v/>
      </c>
      <c r="E62" s="20" t="str">
        <f aca="false">IFERROR(INDEX(CONG_VIEC!$F$6:$F$305,MATCH(A62,CONG_VIEC!$AB$6:$AB$305,0))&amp;"","")</f>
        <v/>
      </c>
      <c r="F62" s="20" t="str">
        <f aca="false">IFERROR(INDEX(CONG_VIEC!$K$6:$K$305,MATCH(A62,CONG_VIEC!$AB$6:$AB$305,0))&amp;"","")</f>
        <v/>
      </c>
      <c r="G62" s="20" t="str">
        <f aca="false">IFERROR(INDEX(CONG_VIEC!$P$6:$P$305,MATCH(A62,CONG_VIEC!$AB$6:$AB$305,0))&amp;"","")</f>
        <v/>
      </c>
      <c r="H62" s="2"/>
    </row>
    <row r="63" customFormat="false" ht="15" hidden="false" customHeight="false" outlineLevel="0" collapsed="false">
      <c r="A63" s="24" t="n">
        <v>53</v>
      </c>
      <c r="B63" s="26" t="str">
        <f aca="false">IFERROR(INDEX(CONG_VIEC!$J$6:$J$305,MATCH(A63,CONG_VIEC!$AB$6:$AB$305,0)),"")</f>
        <v/>
      </c>
      <c r="C63" s="25" t="str">
        <f aca="false">IFERROR(INDEX(CONG_VIEC!$C$6:$C$305,MATCH(A63,CONG_VIEC!$AB$6:$AB$305,0))&amp;"","")</f>
        <v/>
      </c>
      <c r="D63" s="20" t="str">
        <f aca="false">IFERROR(INDEX(CONG_VIEC!$D$6:$D$305,MATCH(A63,CONG_VIEC!$AB$6:$AB$305,0))&amp;"","")</f>
        <v/>
      </c>
      <c r="E63" s="20" t="str">
        <f aca="false">IFERROR(INDEX(CONG_VIEC!$F$6:$F$305,MATCH(A63,CONG_VIEC!$AB$6:$AB$305,0))&amp;"","")</f>
        <v/>
      </c>
      <c r="F63" s="20" t="str">
        <f aca="false">IFERROR(INDEX(CONG_VIEC!$K$6:$K$305,MATCH(A63,CONG_VIEC!$AB$6:$AB$305,0))&amp;"","")</f>
        <v/>
      </c>
      <c r="G63" s="20" t="str">
        <f aca="false">IFERROR(INDEX(CONG_VIEC!$P$6:$P$305,MATCH(A63,CONG_VIEC!$AB$6:$AB$305,0))&amp;"","")</f>
        <v/>
      </c>
      <c r="H63" s="2"/>
    </row>
    <row r="64" customFormat="false" ht="15" hidden="false" customHeight="false" outlineLevel="0" collapsed="false">
      <c r="A64" s="24" t="n">
        <v>54</v>
      </c>
      <c r="B64" s="26" t="str">
        <f aca="false">IFERROR(INDEX(CONG_VIEC!$J$6:$J$305,MATCH(A64,CONG_VIEC!$AB$6:$AB$305,0)),"")</f>
        <v/>
      </c>
      <c r="C64" s="25" t="str">
        <f aca="false">IFERROR(INDEX(CONG_VIEC!$C$6:$C$305,MATCH(A64,CONG_VIEC!$AB$6:$AB$305,0))&amp;"","")</f>
        <v/>
      </c>
      <c r="D64" s="20" t="str">
        <f aca="false">IFERROR(INDEX(CONG_VIEC!$D$6:$D$305,MATCH(A64,CONG_VIEC!$AB$6:$AB$305,0))&amp;"","")</f>
        <v/>
      </c>
      <c r="E64" s="20" t="str">
        <f aca="false">IFERROR(INDEX(CONG_VIEC!$F$6:$F$305,MATCH(A64,CONG_VIEC!$AB$6:$AB$305,0))&amp;"","")</f>
        <v/>
      </c>
      <c r="F64" s="20" t="str">
        <f aca="false">IFERROR(INDEX(CONG_VIEC!$K$6:$K$305,MATCH(A64,CONG_VIEC!$AB$6:$AB$305,0))&amp;"","")</f>
        <v/>
      </c>
      <c r="G64" s="20" t="str">
        <f aca="false">IFERROR(INDEX(CONG_VIEC!$P$6:$P$305,MATCH(A64,CONG_VIEC!$AB$6:$AB$305,0))&amp;"","")</f>
        <v/>
      </c>
      <c r="H64" s="2"/>
    </row>
    <row r="65" customFormat="false" ht="15" hidden="false" customHeight="false" outlineLevel="0" collapsed="false">
      <c r="A65" s="24" t="n">
        <v>55</v>
      </c>
      <c r="B65" s="26" t="str">
        <f aca="false">IFERROR(INDEX(CONG_VIEC!$J$6:$J$305,MATCH(A65,CONG_VIEC!$AB$6:$AB$305,0)),"")</f>
        <v/>
      </c>
      <c r="C65" s="25" t="str">
        <f aca="false">IFERROR(INDEX(CONG_VIEC!$C$6:$C$305,MATCH(A65,CONG_VIEC!$AB$6:$AB$305,0))&amp;"","")</f>
        <v/>
      </c>
      <c r="D65" s="20" t="str">
        <f aca="false">IFERROR(INDEX(CONG_VIEC!$D$6:$D$305,MATCH(A65,CONG_VIEC!$AB$6:$AB$305,0))&amp;"","")</f>
        <v/>
      </c>
      <c r="E65" s="20" t="str">
        <f aca="false">IFERROR(INDEX(CONG_VIEC!$F$6:$F$305,MATCH(A65,CONG_VIEC!$AB$6:$AB$305,0))&amp;"","")</f>
        <v/>
      </c>
      <c r="F65" s="20" t="str">
        <f aca="false">IFERROR(INDEX(CONG_VIEC!$K$6:$K$305,MATCH(A65,CONG_VIEC!$AB$6:$AB$305,0))&amp;"","")</f>
        <v/>
      </c>
      <c r="G65" s="20" t="str">
        <f aca="false">IFERROR(INDEX(CONG_VIEC!$P$6:$P$305,MATCH(A65,CONG_VIEC!$AB$6:$AB$305,0))&amp;"","")</f>
        <v/>
      </c>
      <c r="H65" s="2"/>
    </row>
    <row r="66" customFormat="false" ht="15" hidden="false" customHeight="false" outlineLevel="0" collapsed="false">
      <c r="A66" s="24" t="n">
        <v>56</v>
      </c>
      <c r="B66" s="26" t="str">
        <f aca="false">IFERROR(INDEX(CONG_VIEC!$J$6:$J$305,MATCH(A66,CONG_VIEC!$AB$6:$AB$305,0)),"")</f>
        <v/>
      </c>
      <c r="C66" s="25" t="str">
        <f aca="false">IFERROR(INDEX(CONG_VIEC!$C$6:$C$305,MATCH(A66,CONG_VIEC!$AB$6:$AB$305,0))&amp;"","")</f>
        <v/>
      </c>
      <c r="D66" s="20" t="str">
        <f aca="false">IFERROR(INDEX(CONG_VIEC!$D$6:$D$305,MATCH(A66,CONG_VIEC!$AB$6:$AB$305,0))&amp;"","")</f>
        <v/>
      </c>
      <c r="E66" s="20" t="str">
        <f aca="false">IFERROR(INDEX(CONG_VIEC!$F$6:$F$305,MATCH(A66,CONG_VIEC!$AB$6:$AB$305,0))&amp;"","")</f>
        <v/>
      </c>
      <c r="F66" s="20" t="str">
        <f aca="false">IFERROR(INDEX(CONG_VIEC!$K$6:$K$305,MATCH(A66,CONG_VIEC!$AB$6:$AB$305,0))&amp;"","")</f>
        <v/>
      </c>
      <c r="G66" s="20" t="str">
        <f aca="false">IFERROR(INDEX(CONG_VIEC!$P$6:$P$305,MATCH(A66,CONG_VIEC!$AB$6:$AB$305,0))&amp;"","")</f>
        <v/>
      </c>
      <c r="H66" s="2"/>
    </row>
    <row r="67" customFormat="false" ht="15" hidden="false" customHeight="false" outlineLevel="0" collapsed="false">
      <c r="A67" s="24" t="n">
        <v>57</v>
      </c>
      <c r="B67" s="26" t="str">
        <f aca="false">IFERROR(INDEX(CONG_VIEC!$J$6:$J$305,MATCH(A67,CONG_VIEC!$AB$6:$AB$305,0)),"")</f>
        <v/>
      </c>
      <c r="C67" s="25" t="str">
        <f aca="false">IFERROR(INDEX(CONG_VIEC!$C$6:$C$305,MATCH(A67,CONG_VIEC!$AB$6:$AB$305,0))&amp;"","")</f>
        <v/>
      </c>
      <c r="D67" s="20" t="str">
        <f aca="false">IFERROR(INDEX(CONG_VIEC!$D$6:$D$305,MATCH(A67,CONG_VIEC!$AB$6:$AB$305,0))&amp;"","")</f>
        <v/>
      </c>
      <c r="E67" s="20" t="str">
        <f aca="false">IFERROR(INDEX(CONG_VIEC!$F$6:$F$305,MATCH(A67,CONG_VIEC!$AB$6:$AB$305,0))&amp;"","")</f>
        <v/>
      </c>
      <c r="F67" s="20" t="str">
        <f aca="false">IFERROR(INDEX(CONG_VIEC!$K$6:$K$305,MATCH(A67,CONG_VIEC!$AB$6:$AB$305,0))&amp;"","")</f>
        <v/>
      </c>
      <c r="G67" s="20" t="str">
        <f aca="false">IFERROR(INDEX(CONG_VIEC!$P$6:$P$305,MATCH(A67,CONG_VIEC!$AB$6:$AB$305,0))&amp;"","")</f>
        <v/>
      </c>
      <c r="H67" s="2"/>
    </row>
    <row r="68" customFormat="false" ht="15" hidden="false" customHeight="false" outlineLevel="0" collapsed="false">
      <c r="A68" s="24" t="n">
        <v>58</v>
      </c>
      <c r="B68" s="26" t="str">
        <f aca="false">IFERROR(INDEX(CONG_VIEC!$J$6:$J$305,MATCH(A68,CONG_VIEC!$AB$6:$AB$305,0)),"")</f>
        <v/>
      </c>
      <c r="C68" s="25" t="str">
        <f aca="false">IFERROR(INDEX(CONG_VIEC!$C$6:$C$305,MATCH(A68,CONG_VIEC!$AB$6:$AB$305,0))&amp;"","")</f>
        <v/>
      </c>
      <c r="D68" s="20" t="str">
        <f aca="false">IFERROR(INDEX(CONG_VIEC!$D$6:$D$305,MATCH(A68,CONG_VIEC!$AB$6:$AB$305,0))&amp;"","")</f>
        <v/>
      </c>
      <c r="E68" s="20" t="str">
        <f aca="false">IFERROR(INDEX(CONG_VIEC!$F$6:$F$305,MATCH(A68,CONG_VIEC!$AB$6:$AB$305,0))&amp;"","")</f>
        <v/>
      </c>
      <c r="F68" s="20" t="str">
        <f aca="false">IFERROR(INDEX(CONG_VIEC!$K$6:$K$305,MATCH(A68,CONG_VIEC!$AB$6:$AB$305,0))&amp;"","")</f>
        <v/>
      </c>
      <c r="G68" s="20" t="str">
        <f aca="false">IFERROR(INDEX(CONG_VIEC!$P$6:$P$305,MATCH(A68,CONG_VIEC!$AB$6:$AB$305,0))&amp;"","")</f>
        <v/>
      </c>
      <c r="H68" s="2"/>
    </row>
    <row r="69" customFormat="false" ht="15" hidden="false" customHeight="false" outlineLevel="0" collapsed="false">
      <c r="A69" s="24" t="n">
        <v>59</v>
      </c>
      <c r="B69" s="26" t="str">
        <f aca="false">IFERROR(INDEX(CONG_VIEC!$J$6:$J$305,MATCH(A69,CONG_VIEC!$AB$6:$AB$305,0)),"")</f>
        <v/>
      </c>
      <c r="C69" s="25" t="str">
        <f aca="false">IFERROR(INDEX(CONG_VIEC!$C$6:$C$305,MATCH(A69,CONG_VIEC!$AB$6:$AB$305,0))&amp;"","")</f>
        <v/>
      </c>
      <c r="D69" s="20" t="str">
        <f aca="false">IFERROR(INDEX(CONG_VIEC!$D$6:$D$305,MATCH(A69,CONG_VIEC!$AB$6:$AB$305,0))&amp;"","")</f>
        <v/>
      </c>
      <c r="E69" s="20" t="str">
        <f aca="false">IFERROR(INDEX(CONG_VIEC!$F$6:$F$305,MATCH(A69,CONG_VIEC!$AB$6:$AB$305,0))&amp;"","")</f>
        <v/>
      </c>
      <c r="F69" s="20" t="str">
        <f aca="false">IFERROR(INDEX(CONG_VIEC!$K$6:$K$305,MATCH(A69,CONG_VIEC!$AB$6:$AB$305,0))&amp;"","")</f>
        <v/>
      </c>
      <c r="G69" s="20" t="str">
        <f aca="false">IFERROR(INDEX(CONG_VIEC!$P$6:$P$305,MATCH(A69,CONG_VIEC!$AB$6:$AB$305,0))&amp;"","")</f>
        <v/>
      </c>
      <c r="H69" s="2"/>
    </row>
    <row r="70" customFormat="false" ht="15" hidden="false" customHeight="false" outlineLevel="0" collapsed="false">
      <c r="A70" s="24" t="n">
        <v>60</v>
      </c>
      <c r="B70" s="26" t="str">
        <f aca="false">IFERROR(INDEX(CONG_VIEC!$J$6:$J$305,MATCH(A70,CONG_VIEC!$AB$6:$AB$305,0)),"")</f>
        <v/>
      </c>
      <c r="C70" s="25" t="str">
        <f aca="false">IFERROR(INDEX(CONG_VIEC!$C$6:$C$305,MATCH(A70,CONG_VIEC!$AB$6:$AB$305,0))&amp;"","")</f>
        <v/>
      </c>
      <c r="D70" s="20" t="str">
        <f aca="false">IFERROR(INDEX(CONG_VIEC!$D$6:$D$305,MATCH(A70,CONG_VIEC!$AB$6:$AB$305,0))&amp;"","")</f>
        <v/>
      </c>
      <c r="E70" s="20" t="str">
        <f aca="false">IFERROR(INDEX(CONG_VIEC!$F$6:$F$305,MATCH(A70,CONG_VIEC!$AB$6:$AB$305,0))&amp;"","")</f>
        <v/>
      </c>
      <c r="F70" s="20" t="str">
        <f aca="false">IFERROR(INDEX(CONG_VIEC!$K$6:$K$305,MATCH(A70,CONG_VIEC!$AB$6:$AB$305,0))&amp;"","")</f>
        <v/>
      </c>
      <c r="G70" s="20" t="str">
        <f aca="false">IFERROR(INDEX(CONG_VIEC!$P$6:$P$305,MATCH(A70,CONG_VIEC!$AB$6:$AB$305,0))&amp;"","")</f>
        <v/>
      </c>
      <c r="H70" s="2"/>
    </row>
    <row r="71" customFormat="false" ht="15" hidden="false" customHeight="false" outlineLevel="0" collapsed="false">
      <c r="A71" s="24" t="n">
        <v>61</v>
      </c>
      <c r="B71" s="26" t="str">
        <f aca="false">IFERROR(INDEX(CONG_VIEC!$J$6:$J$305,MATCH(A71,CONG_VIEC!$AB$6:$AB$305,0)),"")</f>
        <v/>
      </c>
      <c r="C71" s="25" t="str">
        <f aca="false">IFERROR(INDEX(CONG_VIEC!$C$6:$C$305,MATCH(A71,CONG_VIEC!$AB$6:$AB$305,0))&amp;"","")</f>
        <v/>
      </c>
      <c r="D71" s="20" t="str">
        <f aca="false">IFERROR(INDEX(CONG_VIEC!$D$6:$D$305,MATCH(A71,CONG_VIEC!$AB$6:$AB$305,0))&amp;"","")</f>
        <v/>
      </c>
      <c r="E71" s="20" t="str">
        <f aca="false">IFERROR(INDEX(CONG_VIEC!$F$6:$F$305,MATCH(A71,CONG_VIEC!$AB$6:$AB$305,0))&amp;"","")</f>
        <v/>
      </c>
      <c r="F71" s="20" t="str">
        <f aca="false">IFERROR(INDEX(CONG_VIEC!$K$6:$K$305,MATCH(A71,CONG_VIEC!$AB$6:$AB$305,0))&amp;"","")</f>
        <v/>
      </c>
      <c r="G71" s="20" t="str">
        <f aca="false">IFERROR(INDEX(CONG_VIEC!$P$6:$P$305,MATCH(A71,CONG_VIEC!$AB$6:$AB$305,0))&amp;"","")</f>
        <v/>
      </c>
      <c r="H71" s="2"/>
    </row>
    <row r="72" customFormat="false" ht="15" hidden="false" customHeight="false" outlineLevel="0" collapsed="false">
      <c r="A72" s="24" t="n">
        <v>62</v>
      </c>
      <c r="B72" s="26" t="str">
        <f aca="false">IFERROR(INDEX(CONG_VIEC!$J$6:$J$305,MATCH(A72,CONG_VIEC!$AB$6:$AB$305,0)),"")</f>
        <v/>
      </c>
      <c r="C72" s="25" t="str">
        <f aca="false">IFERROR(INDEX(CONG_VIEC!$C$6:$C$305,MATCH(A72,CONG_VIEC!$AB$6:$AB$305,0))&amp;"","")</f>
        <v/>
      </c>
      <c r="D72" s="20" t="str">
        <f aca="false">IFERROR(INDEX(CONG_VIEC!$D$6:$D$305,MATCH(A72,CONG_VIEC!$AB$6:$AB$305,0))&amp;"","")</f>
        <v/>
      </c>
      <c r="E72" s="20" t="str">
        <f aca="false">IFERROR(INDEX(CONG_VIEC!$F$6:$F$305,MATCH(A72,CONG_VIEC!$AB$6:$AB$305,0))&amp;"","")</f>
        <v/>
      </c>
      <c r="F72" s="20" t="str">
        <f aca="false">IFERROR(INDEX(CONG_VIEC!$K$6:$K$305,MATCH(A72,CONG_VIEC!$AB$6:$AB$305,0))&amp;"","")</f>
        <v/>
      </c>
      <c r="G72" s="20" t="str">
        <f aca="false">IFERROR(INDEX(CONG_VIEC!$P$6:$P$305,MATCH(A72,CONG_VIEC!$AB$6:$AB$305,0))&amp;"","")</f>
        <v/>
      </c>
      <c r="H72" s="2"/>
    </row>
    <row r="73" customFormat="false" ht="15" hidden="false" customHeight="false" outlineLevel="0" collapsed="false">
      <c r="A73" s="24" t="n">
        <v>63</v>
      </c>
      <c r="B73" s="26" t="str">
        <f aca="false">IFERROR(INDEX(CONG_VIEC!$J$6:$J$305,MATCH(A73,CONG_VIEC!$AB$6:$AB$305,0)),"")</f>
        <v/>
      </c>
      <c r="C73" s="25" t="str">
        <f aca="false">IFERROR(INDEX(CONG_VIEC!$C$6:$C$305,MATCH(A73,CONG_VIEC!$AB$6:$AB$305,0))&amp;"","")</f>
        <v/>
      </c>
      <c r="D73" s="20" t="str">
        <f aca="false">IFERROR(INDEX(CONG_VIEC!$D$6:$D$305,MATCH(A73,CONG_VIEC!$AB$6:$AB$305,0))&amp;"","")</f>
        <v/>
      </c>
      <c r="E73" s="20" t="str">
        <f aca="false">IFERROR(INDEX(CONG_VIEC!$F$6:$F$305,MATCH(A73,CONG_VIEC!$AB$6:$AB$305,0))&amp;"","")</f>
        <v/>
      </c>
      <c r="F73" s="20" t="str">
        <f aca="false">IFERROR(INDEX(CONG_VIEC!$K$6:$K$305,MATCH(A73,CONG_VIEC!$AB$6:$AB$305,0))&amp;"","")</f>
        <v/>
      </c>
      <c r="G73" s="20" t="str">
        <f aca="false">IFERROR(INDEX(CONG_VIEC!$P$6:$P$305,MATCH(A73,CONG_VIEC!$AB$6:$AB$305,0))&amp;"","")</f>
        <v/>
      </c>
      <c r="H73" s="2"/>
    </row>
    <row r="74" customFormat="false" ht="15" hidden="false" customHeight="false" outlineLevel="0" collapsed="false">
      <c r="A74" s="24" t="n">
        <v>64</v>
      </c>
      <c r="B74" s="26" t="str">
        <f aca="false">IFERROR(INDEX(CONG_VIEC!$J$6:$J$305,MATCH(A74,CONG_VIEC!$AB$6:$AB$305,0)),"")</f>
        <v/>
      </c>
      <c r="C74" s="25" t="str">
        <f aca="false">IFERROR(INDEX(CONG_VIEC!$C$6:$C$305,MATCH(A74,CONG_VIEC!$AB$6:$AB$305,0))&amp;"","")</f>
        <v/>
      </c>
      <c r="D74" s="20" t="str">
        <f aca="false">IFERROR(INDEX(CONG_VIEC!$D$6:$D$305,MATCH(A74,CONG_VIEC!$AB$6:$AB$305,0))&amp;"","")</f>
        <v/>
      </c>
      <c r="E74" s="20" t="str">
        <f aca="false">IFERROR(INDEX(CONG_VIEC!$F$6:$F$305,MATCH(A74,CONG_VIEC!$AB$6:$AB$305,0))&amp;"","")</f>
        <v/>
      </c>
      <c r="F74" s="20" t="str">
        <f aca="false">IFERROR(INDEX(CONG_VIEC!$K$6:$K$305,MATCH(A74,CONG_VIEC!$AB$6:$AB$305,0))&amp;"","")</f>
        <v/>
      </c>
      <c r="G74" s="20" t="str">
        <f aca="false">IFERROR(INDEX(CONG_VIEC!$P$6:$P$305,MATCH(A74,CONG_VIEC!$AB$6:$AB$305,0))&amp;"","")</f>
        <v/>
      </c>
      <c r="H74" s="2"/>
    </row>
    <row r="75" customFormat="false" ht="15" hidden="false" customHeight="false" outlineLevel="0" collapsed="false">
      <c r="A75" s="24" t="n">
        <v>65</v>
      </c>
      <c r="B75" s="26" t="str">
        <f aca="false">IFERROR(INDEX(CONG_VIEC!$J$6:$J$305,MATCH(A75,CONG_VIEC!$AB$6:$AB$305,0)),"")</f>
        <v/>
      </c>
      <c r="C75" s="25" t="str">
        <f aca="false">IFERROR(INDEX(CONG_VIEC!$C$6:$C$305,MATCH(A75,CONG_VIEC!$AB$6:$AB$305,0))&amp;"","")</f>
        <v/>
      </c>
      <c r="D75" s="20" t="str">
        <f aca="false">IFERROR(INDEX(CONG_VIEC!$D$6:$D$305,MATCH(A75,CONG_VIEC!$AB$6:$AB$305,0))&amp;"","")</f>
        <v/>
      </c>
      <c r="E75" s="20" t="str">
        <f aca="false">IFERROR(INDEX(CONG_VIEC!$F$6:$F$305,MATCH(A75,CONG_VIEC!$AB$6:$AB$305,0))&amp;"","")</f>
        <v/>
      </c>
      <c r="F75" s="20" t="str">
        <f aca="false">IFERROR(INDEX(CONG_VIEC!$K$6:$K$305,MATCH(A75,CONG_VIEC!$AB$6:$AB$305,0))&amp;"","")</f>
        <v/>
      </c>
      <c r="G75" s="20" t="str">
        <f aca="false">IFERROR(INDEX(CONG_VIEC!$P$6:$P$305,MATCH(A75,CONG_VIEC!$AB$6:$AB$305,0))&amp;"","")</f>
        <v/>
      </c>
      <c r="H75" s="2"/>
    </row>
    <row r="76" customFormat="false" ht="15" hidden="false" customHeight="false" outlineLevel="0" collapsed="false">
      <c r="A76" s="24" t="n">
        <v>66</v>
      </c>
      <c r="B76" s="26" t="str">
        <f aca="false">IFERROR(INDEX(CONG_VIEC!$J$6:$J$305,MATCH(A76,CONG_VIEC!$AB$6:$AB$305,0)),"")</f>
        <v/>
      </c>
      <c r="C76" s="25" t="str">
        <f aca="false">IFERROR(INDEX(CONG_VIEC!$C$6:$C$305,MATCH(A76,CONG_VIEC!$AB$6:$AB$305,0))&amp;"","")</f>
        <v/>
      </c>
      <c r="D76" s="20" t="str">
        <f aca="false">IFERROR(INDEX(CONG_VIEC!$D$6:$D$305,MATCH(A76,CONG_VIEC!$AB$6:$AB$305,0))&amp;"","")</f>
        <v/>
      </c>
      <c r="E76" s="20" t="str">
        <f aca="false">IFERROR(INDEX(CONG_VIEC!$F$6:$F$305,MATCH(A76,CONG_VIEC!$AB$6:$AB$305,0))&amp;"","")</f>
        <v/>
      </c>
      <c r="F76" s="20" t="str">
        <f aca="false">IFERROR(INDEX(CONG_VIEC!$K$6:$K$305,MATCH(A76,CONG_VIEC!$AB$6:$AB$305,0))&amp;"","")</f>
        <v/>
      </c>
      <c r="G76" s="20" t="str">
        <f aca="false">IFERROR(INDEX(CONG_VIEC!$P$6:$P$305,MATCH(A76,CONG_VIEC!$AB$6:$AB$305,0))&amp;"","")</f>
        <v/>
      </c>
      <c r="H76" s="2"/>
    </row>
    <row r="77" customFormat="false" ht="15" hidden="false" customHeight="false" outlineLevel="0" collapsed="false">
      <c r="A77" s="24" t="n">
        <v>67</v>
      </c>
      <c r="B77" s="26" t="str">
        <f aca="false">IFERROR(INDEX(CONG_VIEC!$J$6:$J$305,MATCH(A77,CONG_VIEC!$AB$6:$AB$305,0)),"")</f>
        <v/>
      </c>
      <c r="C77" s="25" t="str">
        <f aca="false">IFERROR(INDEX(CONG_VIEC!$C$6:$C$305,MATCH(A77,CONG_VIEC!$AB$6:$AB$305,0))&amp;"","")</f>
        <v/>
      </c>
      <c r="D77" s="20" t="str">
        <f aca="false">IFERROR(INDEX(CONG_VIEC!$D$6:$D$305,MATCH(A77,CONG_VIEC!$AB$6:$AB$305,0))&amp;"","")</f>
        <v/>
      </c>
      <c r="E77" s="20" t="str">
        <f aca="false">IFERROR(INDEX(CONG_VIEC!$F$6:$F$305,MATCH(A77,CONG_VIEC!$AB$6:$AB$305,0))&amp;"","")</f>
        <v/>
      </c>
      <c r="F77" s="20" t="str">
        <f aca="false">IFERROR(INDEX(CONG_VIEC!$K$6:$K$305,MATCH(A77,CONG_VIEC!$AB$6:$AB$305,0))&amp;"","")</f>
        <v/>
      </c>
      <c r="G77" s="20" t="str">
        <f aca="false">IFERROR(INDEX(CONG_VIEC!$P$6:$P$305,MATCH(A77,CONG_VIEC!$AB$6:$AB$305,0))&amp;"","")</f>
        <v/>
      </c>
      <c r="H77" s="2"/>
    </row>
    <row r="78" customFormat="false" ht="15" hidden="false" customHeight="false" outlineLevel="0" collapsed="false">
      <c r="A78" s="24" t="n">
        <v>68</v>
      </c>
      <c r="B78" s="26" t="str">
        <f aca="false">IFERROR(INDEX(CONG_VIEC!$J$6:$J$305,MATCH(A78,CONG_VIEC!$AB$6:$AB$305,0)),"")</f>
        <v/>
      </c>
      <c r="C78" s="25" t="str">
        <f aca="false">IFERROR(INDEX(CONG_VIEC!$C$6:$C$305,MATCH(A78,CONG_VIEC!$AB$6:$AB$305,0))&amp;"","")</f>
        <v/>
      </c>
      <c r="D78" s="20" t="str">
        <f aca="false">IFERROR(INDEX(CONG_VIEC!$D$6:$D$305,MATCH(A78,CONG_VIEC!$AB$6:$AB$305,0))&amp;"","")</f>
        <v/>
      </c>
      <c r="E78" s="20" t="str">
        <f aca="false">IFERROR(INDEX(CONG_VIEC!$F$6:$F$305,MATCH(A78,CONG_VIEC!$AB$6:$AB$305,0))&amp;"","")</f>
        <v/>
      </c>
      <c r="F78" s="20" t="str">
        <f aca="false">IFERROR(INDEX(CONG_VIEC!$K$6:$K$305,MATCH(A78,CONG_VIEC!$AB$6:$AB$305,0))&amp;"","")</f>
        <v/>
      </c>
      <c r="G78" s="20" t="str">
        <f aca="false">IFERROR(INDEX(CONG_VIEC!$P$6:$P$305,MATCH(A78,CONG_VIEC!$AB$6:$AB$305,0))&amp;"","")</f>
        <v/>
      </c>
      <c r="H78" s="2"/>
    </row>
    <row r="79" customFormat="false" ht="15" hidden="false" customHeight="false" outlineLevel="0" collapsed="false">
      <c r="A79" s="24" t="n">
        <v>69</v>
      </c>
      <c r="B79" s="26" t="str">
        <f aca="false">IFERROR(INDEX(CONG_VIEC!$J$6:$J$305,MATCH(A79,CONG_VIEC!$AB$6:$AB$305,0)),"")</f>
        <v/>
      </c>
      <c r="C79" s="25" t="str">
        <f aca="false">IFERROR(INDEX(CONG_VIEC!$C$6:$C$305,MATCH(A79,CONG_VIEC!$AB$6:$AB$305,0))&amp;"","")</f>
        <v/>
      </c>
      <c r="D79" s="20" t="str">
        <f aca="false">IFERROR(INDEX(CONG_VIEC!$D$6:$D$305,MATCH(A79,CONG_VIEC!$AB$6:$AB$305,0))&amp;"","")</f>
        <v/>
      </c>
      <c r="E79" s="20" t="str">
        <f aca="false">IFERROR(INDEX(CONG_VIEC!$F$6:$F$305,MATCH(A79,CONG_VIEC!$AB$6:$AB$305,0))&amp;"","")</f>
        <v/>
      </c>
      <c r="F79" s="20" t="str">
        <f aca="false">IFERROR(INDEX(CONG_VIEC!$K$6:$K$305,MATCH(A79,CONG_VIEC!$AB$6:$AB$305,0))&amp;"","")</f>
        <v/>
      </c>
      <c r="G79" s="20" t="str">
        <f aca="false">IFERROR(INDEX(CONG_VIEC!$P$6:$P$305,MATCH(A79,CONG_VIEC!$AB$6:$AB$305,0))&amp;"","")</f>
        <v/>
      </c>
      <c r="H79" s="2"/>
    </row>
    <row r="80" customFormat="false" ht="15" hidden="false" customHeight="false" outlineLevel="0" collapsed="false">
      <c r="A80" s="24" t="n">
        <v>70</v>
      </c>
      <c r="B80" s="26" t="str">
        <f aca="false">IFERROR(INDEX(CONG_VIEC!$J$6:$J$305,MATCH(A80,CONG_VIEC!$AB$6:$AB$305,0)),"")</f>
        <v/>
      </c>
      <c r="C80" s="25" t="str">
        <f aca="false">IFERROR(INDEX(CONG_VIEC!$C$6:$C$305,MATCH(A80,CONG_VIEC!$AB$6:$AB$305,0))&amp;"","")</f>
        <v/>
      </c>
      <c r="D80" s="20" t="str">
        <f aca="false">IFERROR(INDEX(CONG_VIEC!$D$6:$D$305,MATCH(A80,CONG_VIEC!$AB$6:$AB$305,0))&amp;"","")</f>
        <v/>
      </c>
      <c r="E80" s="20" t="str">
        <f aca="false">IFERROR(INDEX(CONG_VIEC!$F$6:$F$305,MATCH(A80,CONG_VIEC!$AB$6:$AB$305,0))&amp;"","")</f>
        <v/>
      </c>
      <c r="F80" s="20" t="str">
        <f aca="false">IFERROR(INDEX(CONG_VIEC!$K$6:$K$305,MATCH(A80,CONG_VIEC!$AB$6:$AB$305,0))&amp;"","")</f>
        <v/>
      </c>
      <c r="G80" s="20" t="str">
        <f aca="false">IFERROR(INDEX(CONG_VIEC!$P$6:$P$305,MATCH(A80,CONG_VIEC!$AB$6:$AB$305,0))&amp;"","")</f>
        <v/>
      </c>
      <c r="H80" s="2"/>
    </row>
    <row r="81" customFormat="false" ht="15" hidden="false" customHeight="false" outlineLevel="0" collapsed="false">
      <c r="A81" s="24" t="n">
        <v>71</v>
      </c>
      <c r="B81" s="26" t="str">
        <f aca="false">IFERROR(INDEX(CONG_VIEC!$J$6:$J$305,MATCH(A81,CONG_VIEC!$AB$6:$AB$305,0)),"")</f>
        <v/>
      </c>
      <c r="C81" s="25" t="str">
        <f aca="false">IFERROR(INDEX(CONG_VIEC!$C$6:$C$305,MATCH(A81,CONG_VIEC!$AB$6:$AB$305,0))&amp;"","")</f>
        <v/>
      </c>
      <c r="D81" s="20" t="str">
        <f aca="false">IFERROR(INDEX(CONG_VIEC!$D$6:$D$305,MATCH(A81,CONG_VIEC!$AB$6:$AB$305,0))&amp;"","")</f>
        <v/>
      </c>
      <c r="E81" s="20" t="str">
        <f aca="false">IFERROR(INDEX(CONG_VIEC!$F$6:$F$305,MATCH(A81,CONG_VIEC!$AB$6:$AB$305,0))&amp;"","")</f>
        <v/>
      </c>
      <c r="F81" s="20" t="str">
        <f aca="false">IFERROR(INDEX(CONG_VIEC!$K$6:$K$305,MATCH(A81,CONG_VIEC!$AB$6:$AB$305,0))&amp;"","")</f>
        <v/>
      </c>
      <c r="G81" s="20" t="str">
        <f aca="false">IFERROR(INDEX(CONG_VIEC!$P$6:$P$305,MATCH(A81,CONG_VIEC!$AB$6:$AB$305,0))&amp;"","")</f>
        <v/>
      </c>
      <c r="H81" s="2"/>
    </row>
    <row r="82" customFormat="false" ht="15" hidden="false" customHeight="false" outlineLevel="0" collapsed="false">
      <c r="A82" s="24" t="n">
        <v>72</v>
      </c>
      <c r="B82" s="26" t="str">
        <f aca="false">IFERROR(INDEX(CONG_VIEC!$J$6:$J$305,MATCH(A82,CONG_VIEC!$AB$6:$AB$305,0)),"")</f>
        <v/>
      </c>
      <c r="C82" s="25" t="str">
        <f aca="false">IFERROR(INDEX(CONG_VIEC!$C$6:$C$305,MATCH(A82,CONG_VIEC!$AB$6:$AB$305,0))&amp;"","")</f>
        <v/>
      </c>
      <c r="D82" s="20" t="str">
        <f aca="false">IFERROR(INDEX(CONG_VIEC!$D$6:$D$305,MATCH(A82,CONG_VIEC!$AB$6:$AB$305,0))&amp;"","")</f>
        <v/>
      </c>
      <c r="E82" s="20" t="str">
        <f aca="false">IFERROR(INDEX(CONG_VIEC!$F$6:$F$305,MATCH(A82,CONG_VIEC!$AB$6:$AB$305,0))&amp;"","")</f>
        <v/>
      </c>
      <c r="F82" s="20" t="str">
        <f aca="false">IFERROR(INDEX(CONG_VIEC!$K$6:$K$305,MATCH(A82,CONG_VIEC!$AB$6:$AB$305,0))&amp;"","")</f>
        <v/>
      </c>
      <c r="G82" s="20" t="str">
        <f aca="false">IFERROR(INDEX(CONG_VIEC!$P$6:$P$305,MATCH(A82,CONG_VIEC!$AB$6:$AB$305,0))&amp;"","")</f>
        <v/>
      </c>
      <c r="H82" s="2"/>
    </row>
    <row r="83" customFormat="false" ht="15" hidden="false" customHeight="false" outlineLevel="0" collapsed="false">
      <c r="A83" s="24" t="n">
        <v>73</v>
      </c>
      <c r="B83" s="26" t="str">
        <f aca="false">IFERROR(INDEX(CONG_VIEC!$J$6:$J$305,MATCH(A83,CONG_VIEC!$AB$6:$AB$305,0)),"")</f>
        <v/>
      </c>
      <c r="C83" s="25" t="str">
        <f aca="false">IFERROR(INDEX(CONG_VIEC!$C$6:$C$305,MATCH(A83,CONG_VIEC!$AB$6:$AB$305,0))&amp;"","")</f>
        <v/>
      </c>
      <c r="D83" s="20" t="str">
        <f aca="false">IFERROR(INDEX(CONG_VIEC!$D$6:$D$305,MATCH(A83,CONG_VIEC!$AB$6:$AB$305,0))&amp;"","")</f>
        <v/>
      </c>
      <c r="E83" s="20" t="str">
        <f aca="false">IFERROR(INDEX(CONG_VIEC!$F$6:$F$305,MATCH(A83,CONG_VIEC!$AB$6:$AB$305,0))&amp;"","")</f>
        <v/>
      </c>
      <c r="F83" s="20" t="str">
        <f aca="false">IFERROR(INDEX(CONG_VIEC!$K$6:$K$305,MATCH(A83,CONG_VIEC!$AB$6:$AB$305,0))&amp;"","")</f>
        <v/>
      </c>
      <c r="G83" s="20" t="str">
        <f aca="false">IFERROR(INDEX(CONG_VIEC!$P$6:$P$305,MATCH(A83,CONG_VIEC!$AB$6:$AB$305,0))&amp;"","")</f>
        <v/>
      </c>
      <c r="H83" s="2"/>
    </row>
    <row r="84" customFormat="false" ht="15" hidden="false" customHeight="false" outlineLevel="0" collapsed="false">
      <c r="A84" s="24" t="n">
        <v>74</v>
      </c>
      <c r="B84" s="26" t="str">
        <f aca="false">IFERROR(INDEX(CONG_VIEC!$J$6:$J$305,MATCH(A84,CONG_VIEC!$AB$6:$AB$305,0)),"")</f>
        <v/>
      </c>
      <c r="C84" s="25" t="str">
        <f aca="false">IFERROR(INDEX(CONG_VIEC!$C$6:$C$305,MATCH(A84,CONG_VIEC!$AB$6:$AB$305,0))&amp;"","")</f>
        <v/>
      </c>
      <c r="D84" s="20" t="str">
        <f aca="false">IFERROR(INDEX(CONG_VIEC!$D$6:$D$305,MATCH(A84,CONG_VIEC!$AB$6:$AB$305,0))&amp;"","")</f>
        <v/>
      </c>
      <c r="E84" s="20" t="str">
        <f aca="false">IFERROR(INDEX(CONG_VIEC!$F$6:$F$305,MATCH(A84,CONG_VIEC!$AB$6:$AB$305,0))&amp;"","")</f>
        <v/>
      </c>
      <c r="F84" s="20" t="str">
        <f aca="false">IFERROR(INDEX(CONG_VIEC!$K$6:$K$305,MATCH(A84,CONG_VIEC!$AB$6:$AB$305,0))&amp;"","")</f>
        <v/>
      </c>
      <c r="G84" s="20" t="str">
        <f aca="false">IFERROR(INDEX(CONG_VIEC!$P$6:$P$305,MATCH(A84,CONG_VIEC!$AB$6:$AB$305,0))&amp;"","")</f>
        <v/>
      </c>
      <c r="H84" s="2"/>
    </row>
    <row r="85" customFormat="false" ht="15" hidden="false" customHeight="false" outlineLevel="0" collapsed="false">
      <c r="A85" s="24" t="n">
        <v>75</v>
      </c>
      <c r="B85" s="26" t="str">
        <f aca="false">IFERROR(INDEX(CONG_VIEC!$J$6:$J$305,MATCH(A85,CONG_VIEC!$AB$6:$AB$305,0)),"")</f>
        <v/>
      </c>
      <c r="C85" s="25" t="str">
        <f aca="false">IFERROR(INDEX(CONG_VIEC!$C$6:$C$305,MATCH(A85,CONG_VIEC!$AB$6:$AB$305,0))&amp;"","")</f>
        <v/>
      </c>
      <c r="D85" s="20" t="str">
        <f aca="false">IFERROR(INDEX(CONG_VIEC!$D$6:$D$305,MATCH(A85,CONG_VIEC!$AB$6:$AB$305,0))&amp;"","")</f>
        <v/>
      </c>
      <c r="E85" s="20" t="str">
        <f aca="false">IFERROR(INDEX(CONG_VIEC!$F$6:$F$305,MATCH(A85,CONG_VIEC!$AB$6:$AB$305,0))&amp;"","")</f>
        <v/>
      </c>
      <c r="F85" s="20" t="str">
        <f aca="false">IFERROR(INDEX(CONG_VIEC!$K$6:$K$305,MATCH(A85,CONG_VIEC!$AB$6:$AB$305,0))&amp;"","")</f>
        <v/>
      </c>
      <c r="G85" s="20" t="str">
        <f aca="false">IFERROR(INDEX(CONG_VIEC!$P$6:$P$305,MATCH(A85,CONG_VIEC!$AB$6:$AB$305,0))&amp;"","")</f>
        <v/>
      </c>
      <c r="H85" s="2"/>
    </row>
    <row r="86" customFormat="false" ht="15" hidden="false" customHeight="false" outlineLevel="0" collapsed="false">
      <c r="A86" s="24" t="n">
        <v>76</v>
      </c>
      <c r="B86" s="26" t="str">
        <f aca="false">IFERROR(INDEX(CONG_VIEC!$J$6:$J$305,MATCH(A86,CONG_VIEC!$AB$6:$AB$305,0)),"")</f>
        <v/>
      </c>
      <c r="C86" s="25" t="str">
        <f aca="false">IFERROR(INDEX(CONG_VIEC!$C$6:$C$305,MATCH(A86,CONG_VIEC!$AB$6:$AB$305,0))&amp;"","")</f>
        <v/>
      </c>
      <c r="D86" s="20" t="str">
        <f aca="false">IFERROR(INDEX(CONG_VIEC!$D$6:$D$305,MATCH(A86,CONG_VIEC!$AB$6:$AB$305,0))&amp;"","")</f>
        <v/>
      </c>
      <c r="E86" s="20" t="str">
        <f aca="false">IFERROR(INDEX(CONG_VIEC!$F$6:$F$305,MATCH(A86,CONG_VIEC!$AB$6:$AB$305,0))&amp;"","")</f>
        <v/>
      </c>
      <c r="F86" s="20" t="str">
        <f aca="false">IFERROR(INDEX(CONG_VIEC!$K$6:$K$305,MATCH(A86,CONG_VIEC!$AB$6:$AB$305,0))&amp;"","")</f>
        <v/>
      </c>
      <c r="G86" s="20" t="str">
        <f aca="false">IFERROR(INDEX(CONG_VIEC!$P$6:$P$305,MATCH(A86,CONG_VIEC!$AB$6:$AB$305,0))&amp;"","")</f>
        <v/>
      </c>
      <c r="H86" s="2"/>
    </row>
    <row r="87" customFormat="false" ht="15" hidden="false" customHeight="false" outlineLevel="0" collapsed="false">
      <c r="A87" s="24" t="n">
        <v>77</v>
      </c>
      <c r="B87" s="26" t="str">
        <f aca="false">IFERROR(INDEX(CONG_VIEC!$J$6:$J$305,MATCH(A87,CONG_VIEC!$AB$6:$AB$305,0)),"")</f>
        <v/>
      </c>
      <c r="C87" s="25" t="str">
        <f aca="false">IFERROR(INDEX(CONG_VIEC!$C$6:$C$305,MATCH(A87,CONG_VIEC!$AB$6:$AB$305,0))&amp;"","")</f>
        <v/>
      </c>
      <c r="D87" s="20" t="str">
        <f aca="false">IFERROR(INDEX(CONG_VIEC!$D$6:$D$305,MATCH(A87,CONG_VIEC!$AB$6:$AB$305,0))&amp;"","")</f>
        <v/>
      </c>
      <c r="E87" s="20" t="str">
        <f aca="false">IFERROR(INDEX(CONG_VIEC!$F$6:$F$305,MATCH(A87,CONG_VIEC!$AB$6:$AB$305,0))&amp;"","")</f>
        <v/>
      </c>
      <c r="F87" s="20" t="str">
        <f aca="false">IFERROR(INDEX(CONG_VIEC!$K$6:$K$305,MATCH(A87,CONG_VIEC!$AB$6:$AB$305,0))&amp;"","")</f>
        <v/>
      </c>
      <c r="G87" s="20" t="str">
        <f aca="false">IFERROR(INDEX(CONG_VIEC!$P$6:$P$305,MATCH(A87,CONG_VIEC!$AB$6:$AB$305,0))&amp;"","")</f>
        <v/>
      </c>
      <c r="H87" s="2"/>
    </row>
    <row r="88" customFormat="false" ht="15" hidden="false" customHeight="false" outlineLevel="0" collapsed="false">
      <c r="A88" s="24" t="n">
        <v>78</v>
      </c>
      <c r="B88" s="26" t="str">
        <f aca="false">IFERROR(INDEX(CONG_VIEC!$J$6:$J$305,MATCH(A88,CONG_VIEC!$AB$6:$AB$305,0)),"")</f>
        <v/>
      </c>
      <c r="C88" s="25" t="str">
        <f aca="false">IFERROR(INDEX(CONG_VIEC!$C$6:$C$305,MATCH(A88,CONG_VIEC!$AB$6:$AB$305,0))&amp;"","")</f>
        <v/>
      </c>
      <c r="D88" s="20" t="str">
        <f aca="false">IFERROR(INDEX(CONG_VIEC!$D$6:$D$305,MATCH(A88,CONG_VIEC!$AB$6:$AB$305,0))&amp;"","")</f>
        <v/>
      </c>
      <c r="E88" s="20" t="str">
        <f aca="false">IFERROR(INDEX(CONG_VIEC!$F$6:$F$305,MATCH(A88,CONG_VIEC!$AB$6:$AB$305,0))&amp;"","")</f>
        <v/>
      </c>
      <c r="F88" s="20" t="str">
        <f aca="false">IFERROR(INDEX(CONG_VIEC!$K$6:$K$305,MATCH(A88,CONG_VIEC!$AB$6:$AB$305,0))&amp;"","")</f>
        <v/>
      </c>
      <c r="G88" s="20" t="str">
        <f aca="false">IFERROR(INDEX(CONG_VIEC!$P$6:$P$305,MATCH(A88,CONG_VIEC!$AB$6:$AB$305,0))&amp;"","")</f>
        <v/>
      </c>
      <c r="H88" s="2"/>
    </row>
    <row r="89" customFormat="false" ht="15" hidden="false" customHeight="false" outlineLevel="0" collapsed="false">
      <c r="A89" s="24" t="n">
        <v>79</v>
      </c>
      <c r="B89" s="26" t="str">
        <f aca="false">IFERROR(INDEX(CONG_VIEC!$J$6:$J$305,MATCH(A89,CONG_VIEC!$AB$6:$AB$305,0)),"")</f>
        <v/>
      </c>
      <c r="C89" s="25" t="str">
        <f aca="false">IFERROR(INDEX(CONG_VIEC!$C$6:$C$305,MATCH(A89,CONG_VIEC!$AB$6:$AB$305,0))&amp;"","")</f>
        <v/>
      </c>
      <c r="D89" s="20" t="str">
        <f aca="false">IFERROR(INDEX(CONG_VIEC!$D$6:$D$305,MATCH(A89,CONG_VIEC!$AB$6:$AB$305,0))&amp;"","")</f>
        <v/>
      </c>
      <c r="E89" s="20" t="str">
        <f aca="false">IFERROR(INDEX(CONG_VIEC!$F$6:$F$305,MATCH(A89,CONG_VIEC!$AB$6:$AB$305,0))&amp;"","")</f>
        <v/>
      </c>
      <c r="F89" s="20" t="str">
        <f aca="false">IFERROR(INDEX(CONG_VIEC!$K$6:$K$305,MATCH(A89,CONG_VIEC!$AB$6:$AB$305,0))&amp;"","")</f>
        <v/>
      </c>
      <c r="G89" s="20" t="str">
        <f aca="false">IFERROR(INDEX(CONG_VIEC!$P$6:$P$305,MATCH(A89,CONG_VIEC!$AB$6:$AB$305,0))&amp;"","")</f>
        <v/>
      </c>
      <c r="H89" s="2"/>
    </row>
    <row r="90" customFormat="false" ht="15" hidden="false" customHeight="false" outlineLevel="0" collapsed="false">
      <c r="A90" s="24" t="n">
        <v>80</v>
      </c>
      <c r="B90" s="26" t="str">
        <f aca="false">IFERROR(INDEX(CONG_VIEC!$J$6:$J$305,MATCH(A90,CONG_VIEC!$AB$6:$AB$305,0)),"")</f>
        <v/>
      </c>
      <c r="C90" s="25" t="str">
        <f aca="false">IFERROR(INDEX(CONG_VIEC!$C$6:$C$305,MATCH(A90,CONG_VIEC!$AB$6:$AB$305,0))&amp;"","")</f>
        <v/>
      </c>
      <c r="D90" s="20" t="str">
        <f aca="false">IFERROR(INDEX(CONG_VIEC!$D$6:$D$305,MATCH(A90,CONG_VIEC!$AB$6:$AB$305,0))&amp;"","")</f>
        <v/>
      </c>
      <c r="E90" s="20" t="str">
        <f aca="false">IFERROR(INDEX(CONG_VIEC!$F$6:$F$305,MATCH(A90,CONG_VIEC!$AB$6:$AB$305,0))&amp;"","")</f>
        <v/>
      </c>
      <c r="F90" s="20" t="str">
        <f aca="false">IFERROR(INDEX(CONG_VIEC!$K$6:$K$305,MATCH(A90,CONG_VIEC!$AB$6:$AB$305,0))&amp;"","")</f>
        <v/>
      </c>
      <c r="G90" s="20" t="str">
        <f aca="false">IFERROR(INDEX(CONG_VIEC!$P$6:$P$305,MATCH(A90,CONG_VIEC!$AB$6:$AB$305,0))&amp;"","")</f>
        <v/>
      </c>
      <c r="H90" s="2"/>
    </row>
  </sheetData>
  <conditionalFormatting sqref="B5:H5">
    <cfRule type="expression" priority="2" aboveAverage="0" equalAverage="0" bottom="0" percent="0" rank="0" text="" dxfId="18">
      <formula>B5=TODAY()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22"/>
  </cols>
  <sheetData>
    <row r="1" customFormat="false" ht="19.7" hidden="false" customHeight="false" outlineLevel="0" collapsed="false">
      <c r="A1" s="1" t="s">
        <v>94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3" t="s">
        <v>95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3" t="s">
        <v>96</v>
      </c>
      <c r="B3" s="2"/>
      <c r="C3" s="34" t="n">
        <f aca="true">DATE(YEAR(TODAY()),MONTH(TODAY()),1)</f>
        <v>46266</v>
      </c>
      <c r="D3" s="24" t="s">
        <v>97</v>
      </c>
      <c r="E3" s="35" t="n">
        <f aca="false">C3-WEEKDAY(C3,2)+1</f>
        <v>46265</v>
      </c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6" t="s">
        <v>83</v>
      </c>
      <c r="B5" s="6" t="s">
        <v>84</v>
      </c>
      <c r="C5" s="6" t="s">
        <v>85</v>
      </c>
      <c r="D5" s="6" t="s">
        <v>86</v>
      </c>
      <c r="E5" s="6" t="s">
        <v>87</v>
      </c>
      <c r="F5" s="6" t="s">
        <v>88</v>
      </c>
      <c r="G5" s="6" t="s">
        <v>89</v>
      </c>
    </row>
    <row r="6" customFormat="false" ht="15" hidden="false" customHeight="false" outlineLevel="0" collapsed="false">
      <c r="A6" s="36" t="n">
        <f aca="false">$E$3+0</f>
        <v>46265</v>
      </c>
      <c r="B6" s="36" t="n">
        <f aca="false">$E$3+1</f>
        <v>46266</v>
      </c>
      <c r="C6" s="36" t="n">
        <f aca="false">$E$3+2</f>
        <v>46267</v>
      </c>
      <c r="D6" s="36" t="n">
        <f aca="false">$E$3+3</f>
        <v>46268</v>
      </c>
      <c r="E6" s="36" t="n">
        <f aca="false">$E$3+4</f>
        <v>46269</v>
      </c>
      <c r="F6" s="36" t="n">
        <f aca="false">$E$3+5</f>
        <v>46270</v>
      </c>
      <c r="G6" s="36" t="n">
        <f aca="false">$E$3+6</f>
        <v>46271</v>
      </c>
    </row>
    <row r="7" customFormat="false" ht="15" hidden="false" customHeight="false" outlineLevel="0" collapsed="false">
      <c r="A7" s="37" t="str">
        <f aca="false">IF(COUNTIF(CONG_VIEC!$J$6:$J$305,A6)=0,"",COUNTIF(CONG_VIEC!$J$6:$J$305,A6)&amp;" việc"&amp;IF(COUNTIFS(CONG_VIEC!$J$6:$J$305,A6,CONG_VIEC!$P$6:$P$305,"Quá hạn")&gt;0," · "&amp;COUNTIFS(CONG_VIEC!$J$6:$J$305,A6,CONG_VIEC!$P$6:$P$305,"Quá hạn")&amp;" quá hạn",""))</f>
        <v/>
      </c>
      <c r="B7" s="37" t="str">
        <f aca="false">IF(COUNTIF(CONG_VIEC!$J$6:$J$305,B6)=0,"",COUNTIF(CONG_VIEC!$J$6:$J$305,B6)&amp;" việc"&amp;IF(COUNTIFS(CONG_VIEC!$J$6:$J$305,B6,CONG_VIEC!$P$6:$P$305,"Quá hạn")&gt;0," · "&amp;COUNTIFS(CONG_VIEC!$J$6:$J$305,B6,CONG_VIEC!$P$6:$P$305,"Quá hạn")&amp;" quá hạn",""))</f>
        <v/>
      </c>
      <c r="C7" s="37" t="str">
        <f aca="false">IF(COUNTIF(CONG_VIEC!$J$6:$J$305,C6)=0,"",COUNTIF(CONG_VIEC!$J$6:$J$305,C6)&amp;" việc"&amp;IF(COUNTIFS(CONG_VIEC!$J$6:$J$305,C6,CONG_VIEC!$P$6:$P$305,"Quá hạn")&gt;0," · "&amp;COUNTIFS(CONG_VIEC!$J$6:$J$305,C6,CONG_VIEC!$P$6:$P$305,"Quá hạn")&amp;" quá hạn",""))</f>
        <v/>
      </c>
      <c r="D7" s="37" t="str">
        <f aca="false">IF(COUNTIF(CONG_VIEC!$J$6:$J$305,D6)=0,"",COUNTIF(CONG_VIEC!$J$6:$J$305,D6)&amp;" việc"&amp;IF(COUNTIFS(CONG_VIEC!$J$6:$J$305,D6,CONG_VIEC!$P$6:$P$305,"Quá hạn")&gt;0," · "&amp;COUNTIFS(CONG_VIEC!$J$6:$J$305,D6,CONG_VIEC!$P$6:$P$305,"Quá hạn")&amp;" quá hạn",""))</f>
        <v/>
      </c>
      <c r="E7" s="37" t="str">
        <f aca="false">IF(COUNTIF(CONG_VIEC!$J$6:$J$305,E6)=0,"",COUNTIF(CONG_VIEC!$J$6:$J$305,E6)&amp;" việc"&amp;IF(COUNTIFS(CONG_VIEC!$J$6:$J$305,E6,CONG_VIEC!$P$6:$P$305,"Quá hạn")&gt;0," · "&amp;COUNTIFS(CONG_VIEC!$J$6:$J$305,E6,CONG_VIEC!$P$6:$P$305,"Quá hạn")&amp;" quá hạn",""))</f>
        <v/>
      </c>
      <c r="F7" s="37" t="str">
        <f aca="false">IF(COUNTIF(CONG_VIEC!$J$6:$J$305,F6)=0,"",COUNTIF(CONG_VIEC!$J$6:$J$305,F6)&amp;" việc"&amp;IF(COUNTIFS(CONG_VIEC!$J$6:$J$305,F6,CONG_VIEC!$P$6:$P$305,"Quá hạn")&gt;0," · "&amp;COUNTIFS(CONG_VIEC!$J$6:$J$305,F6,CONG_VIEC!$P$6:$P$305,"Quá hạn")&amp;" quá hạn",""))</f>
        <v/>
      </c>
      <c r="G7" s="37" t="str">
        <f aca="false">IF(COUNTIF(CONG_VIEC!$J$6:$J$305,G6)=0,"",COUNTIF(CONG_VIEC!$J$6:$J$305,G6)&amp;" việc"&amp;IF(COUNTIFS(CONG_VIEC!$J$6:$J$305,G6,CONG_VIEC!$P$6:$P$305,"Quá hạn")&gt;0," · "&amp;COUNTIFS(CONG_VIEC!$J$6:$J$305,G6,CONG_VIEC!$P$6:$P$305,"Quá hạn")&amp;" quá hạn",""))</f>
        <v/>
      </c>
    </row>
    <row r="8" customFormat="false" ht="30" hidden="false" customHeight="true" outlineLevel="0" collapsed="false">
      <c r="A8" s="38" t="str">
        <f aca="false">IFERROR(INDEX(CONG_VIEC!$C$6:$C$305,MATCH(A6,CONG_VIEC!$J$6:$J$305,0))&amp;"","")</f>
        <v/>
      </c>
      <c r="B8" s="38" t="str">
        <f aca="false">IFERROR(INDEX(CONG_VIEC!$C$6:$C$305,MATCH(B6,CONG_VIEC!$J$6:$J$305,0))&amp;"","")</f>
        <v/>
      </c>
      <c r="C8" s="38" t="str">
        <f aca="false">IFERROR(INDEX(CONG_VIEC!$C$6:$C$305,MATCH(C6,CONG_VIEC!$J$6:$J$305,0))&amp;"","")</f>
        <v/>
      </c>
      <c r="D8" s="38" t="str">
        <f aca="false">IFERROR(INDEX(CONG_VIEC!$C$6:$C$305,MATCH(D6,CONG_VIEC!$J$6:$J$305,0))&amp;"","")</f>
        <v/>
      </c>
      <c r="E8" s="38" t="str">
        <f aca="false">IFERROR(INDEX(CONG_VIEC!$C$6:$C$305,MATCH(E6,CONG_VIEC!$J$6:$J$305,0))&amp;"","")</f>
        <v/>
      </c>
      <c r="F8" s="38" t="str">
        <f aca="false">IFERROR(INDEX(CONG_VIEC!$C$6:$C$305,MATCH(F6,CONG_VIEC!$J$6:$J$305,0))&amp;"","")</f>
        <v/>
      </c>
      <c r="G8" s="38" t="str">
        <f aca="false">IFERROR(INDEX(CONG_VIEC!$C$6:$C$305,MATCH(G6,CONG_VIEC!$J$6:$J$305,0))&amp;"","")</f>
        <v/>
      </c>
    </row>
    <row r="9" customFormat="false" ht="15" hidden="false" customHeight="false" outlineLevel="0" collapsed="false">
      <c r="A9" s="36" t="n">
        <f aca="false">$E$3+7</f>
        <v>46272</v>
      </c>
      <c r="B9" s="36" t="n">
        <f aca="false">$E$3+8</f>
        <v>46273</v>
      </c>
      <c r="C9" s="36" t="n">
        <f aca="false">$E$3+9</f>
        <v>46274</v>
      </c>
      <c r="D9" s="36" t="n">
        <f aca="false">$E$3+10</f>
        <v>46275</v>
      </c>
      <c r="E9" s="36" t="n">
        <f aca="false">$E$3+11</f>
        <v>46276</v>
      </c>
      <c r="F9" s="36" t="n">
        <f aca="false">$E$3+12</f>
        <v>46277</v>
      </c>
      <c r="G9" s="36" t="n">
        <f aca="false">$E$3+13</f>
        <v>46278</v>
      </c>
    </row>
    <row r="10" customFormat="false" ht="15" hidden="false" customHeight="false" outlineLevel="0" collapsed="false">
      <c r="A10" s="37" t="str">
        <f aca="false">IF(COUNTIF(CONG_VIEC!$J$6:$J$305,A9)=0,"",COUNTIF(CONG_VIEC!$J$6:$J$305,A9)&amp;" việc"&amp;IF(COUNTIFS(CONG_VIEC!$J$6:$J$305,A9,CONG_VIEC!$P$6:$P$305,"Quá hạn")&gt;0," · "&amp;COUNTIFS(CONG_VIEC!$J$6:$J$305,A9,CONG_VIEC!$P$6:$P$305,"Quá hạn")&amp;" quá hạn",""))</f>
        <v/>
      </c>
      <c r="B10" s="37" t="str">
        <f aca="false">IF(COUNTIF(CONG_VIEC!$J$6:$J$305,B9)=0,"",COUNTIF(CONG_VIEC!$J$6:$J$305,B9)&amp;" việc"&amp;IF(COUNTIFS(CONG_VIEC!$J$6:$J$305,B9,CONG_VIEC!$P$6:$P$305,"Quá hạn")&gt;0," · "&amp;COUNTIFS(CONG_VIEC!$J$6:$J$305,B9,CONG_VIEC!$P$6:$P$305,"Quá hạn")&amp;" quá hạn",""))</f>
        <v/>
      </c>
      <c r="C10" s="37" t="str">
        <f aca="false">IF(COUNTIF(CONG_VIEC!$J$6:$J$305,C9)=0,"",COUNTIF(CONG_VIEC!$J$6:$J$305,C9)&amp;" việc"&amp;IF(COUNTIFS(CONG_VIEC!$J$6:$J$305,C9,CONG_VIEC!$P$6:$P$305,"Quá hạn")&gt;0," · "&amp;COUNTIFS(CONG_VIEC!$J$6:$J$305,C9,CONG_VIEC!$P$6:$P$305,"Quá hạn")&amp;" quá hạn",""))</f>
        <v/>
      </c>
      <c r="D10" s="37" t="str">
        <f aca="false">IF(COUNTIF(CONG_VIEC!$J$6:$J$305,D9)=0,"",COUNTIF(CONG_VIEC!$J$6:$J$305,D9)&amp;" việc"&amp;IF(COUNTIFS(CONG_VIEC!$J$6:$J$305,D9,CONG_VIEC!$P$6:$P$305,"Quá hạn")&gt;0," · "&amp;COUNTIFS(CONG_VIEC!$J$6:$J$305,D9,CONG_VIEC!$P$6:$P$305,"Quá hạn")&amp;" quá hạn",""))</f>
        <v/>
      </c>
      <c r="E10" s="37" t="str">
        <f aca="false">IF(COUNTIF(CONG_VIEC!$J$6:$J$305,E9)=0,"",COUNTIF(CONG_VIEC!$J$6:$J$305,E9)&amp;" việc"&amp;IF(COUNTIFS(CONG_VIEC!$J$6:$J$305,E9,CONG_VIEC!$P$6:$P$305,"Quá hạn")&gt;0," · "&amp;COUNTIFS(CONG_VIEC!$J$6:$J$305,E9,CONG_VIEC!$P$6:$P$305,"Quá hạn")&amp;" quá hạn",""))</f>
        <v/>
      </c>
      <c r="F10" s="37" t="str">
        <f aca="false">IF(COUNTIF(CONG_VIEC!$J$6:$J$305,F9)=0,"",COUNTIF(CONG_VIEC!$J$6:$J$305,F9)&amp;" việc"&amp;IF(COUNTIFS(CONG_VIEC!$J$6:$J$305,F9,CONG_VIEC!$P$6:$P$305,"Quá hạn")&gt;0," · "&amp;COUNTIFS(CONG_VIEC!$J$6:$J$305,F9,CONG_VIEC!$P$6:$P$305,"Quá hạn")&amp;" quá hạn",""))</f>
        <v/>
      </c>
      <c r="G10" s="37" t="str">
        <f aca="false">IF(COUNTIF(CONG_VIEC!$J$6:$J$305,G9)=0,"",COUNTIF(CONG_VIEC!$J$6:$J$305,G9)&amp;" việc"&amp;IF(COUNTIFS(CONG_VIEC!$J$6:$J$305,G9,CONG_VIEC!$P$6:$P$305,"Quá hạn")&gt;0," · "&amp;COUNTIFS(CONG_VIEC!$J$6:$J$305,G9,CONG_VIEC!$P$6:$P$305,"Quá hạn")&amp;" quá hạn",""))</f>
        <v/>
      </c>
    </row>
    <row r="11" customFormat="false" ht="30" hidden="false" customHeight="true" outlineLevel="0" collapsed="false">
      <c r="A11" s="38" t="str">
        <f aca="false">IFERROR(INDEX(CONG_VIEC!$C$6:$C$305,MATCH(A9,CONG_VIEC!$J$6:$J$305,0))&amp;"","")</f>
        <v/>
      </c>
      <c r="B11" s="38" t="str">
        <f aca="false">IFERROR(INDEX(CONG_VIEC!$C$6:$C$305,MATCH(B9,CONG_VIEC!$J$6:$J$305,0))&amp;"","")</f>
        <v/>
      </c>
      <c r="C11" s="38" t="str">
        <f aca="false">IFERROR(INDEX(CONG_VIEC!$C$6:$C$305,MATCH(C9,CONG_VIEC!$J$6:$J$305,0))&amp;"","")</f>
        <v/>
      </c>
      <c r="D11" s="38" t="str">
        <f aca="false">IFERROR(INDEX(CONG_VIEC!$C$6:$C$305,MATCH(D9,CONG_VIEC!$J$6:$J$305,0))&amp;"","")</f>
        <v/>
      </c>
      <c r="E11" s="38" t="str">
        <f aca="false">IFERROR(INDEX(CONG_VIEC!$C$6:$C$305,MATCH(E9,CONG_VIEC!$J$6:$J$305,0))&amp;"","")</f>
        <v/>
      </c>
      <c r="F11" s="38" t="str">
        <f aca="false">IFERROR(INDEX(CONG_VIEC!$C$6:$C$305,MATCH(F9,CONG_VIEC!$J$6:$J$305,0))&amp;"","")</f>
        <v/>
      </c>
      <c r="G11" s="38" t="str">
        <f aca="false">IFERROR(INDEX(CONG_VIEC!$C$6:$C$305,MATCH(G9,CONG_VIEC!$J$6:$J$305,0))&amp;"","")</f>
        <v/>
      </c>
    </row>
    <row r="12" customFormat="false" ht="15" hidden="false" customHeight="false" outlineLevel="0" collapsed="false">
      <c r="A12" s="36" t="n">
        <f aca="false">$E$3+14</f>
        <v>46279</v>
      </c>
      <c r="B12" s="36" t="n">
        <f aca="false">$E$3+15</f>
        <v>46280</v>
      </c>
      <c r="C12" s="36" t="n">
        <f aca="false">$E$3+16</f>
        <v>46281</v>
      </c>
      <c r="D12" s="36" t="n">
        <f aca="false">$E$3+17</f>
        <v>46282</v>
      </c>
      <c r="E12" s="36" t="n">
        <f aca="false">$E$3+18</f>
        <v>46283</v>
      </c>
      <c r="F12" s="36" t="n">
        <f aca="false">$E$3+19</f>
        <v>46284</v>
      </c>
      <c r="G12" s="36" t="n">
        <f aca="false">$E$3+20</f>
        <v>46285</v>
      </c>
    </row>
    <row r="13" customFormat="false" ht="15" hidden="false" customHeight="false" outlineLevel="0" collapsed="false">
      <c r="A13" s="37" t="str">
        <f aca="false">IF(COUNTIF(CONG_VIEC!$J$6:$J$305,A12)=0,"",COUNTIF(CONG_VIEC!$J$6:$J$305,A12)&amp;" việc"&amp;IF(COUNTIFS(CONG_VIEC!$J$6:$J$305,A12,CONG_VIEC!$P$6:$P$305,"Quá hạn")&gt;0," · "&amp;COUNTIFS(CONG_VIEC!$J$6:$J$305,A12,CONG_VIEC!$P$6:$P$305,"Quá hạn")&amp;" quá hạn",""))</f>
        <v/>
      </c>
      <c r="B13" s="37" t="str">
        <f aca="false">IF(COUNTIF(CONG_VIEC!$J$6:$J$305,B12)=0,"",COUNTIF(CONG_VIEC!$J$6:$J$305,B12)&amp;" việc"&amp;IF(COUNTIFS(CONG_VIEC!$J$6:$J$305,B12,CONG_VIEC!$P$6:$P$305,"Quá hạn")&gt;0," · "&amp;COUNTIFS(CONG_VIEC!$J$6:$J$305,B12,CONG_VIEC!$P$6:$P$305,"Quá hạn")&amp;" quá hạn",""))</f>
        <v/>
      </c>
      <c r="C13" s="37" t="str">
        <f aca="false">IF(COUNTIF(CONG_VIEC!$J$6:$J$305,C12)=0,"",COUNTIF(CONG_VIEC!$J$6:$J$305,C12)&amp;" việc"&amp;IF(COUNTIFS(CONG_VIEC!$J$6:$J$305,C12,CONG_VIEC!$P$6:$P$305,"Quá hạn")&gt;0," · "&amp;COUNTIFS(CONG_VIEC!$J$6:$J$305,C12,CONG_VIEC!$P$6:$P$305,"Quá hạn")&amp;" quá hạn",""))</f>
        <v/>
      </c>
      <c r="D13" s="37" t="str">
        <f aca="false">IF(COUNTIF(CONG_VIEC!$J$6:$J$305,D12)=0,"",COUNTIF(CONG_VIEC!$J$6:$J$305,D12)&amp;" việc"&amp;IF(COUNTIFS(CONG_VIEC!$J$6:$J$305,D12,CONG_VIEC!$P$6:$P$305,"Quá hạn")&gt;0," · "&amp;COUNTIFS(CONG_VIEC!$J$6:$J$305,D12,CONG_VIEC!$P$6:$P$305,"Quá hạn")&amp;" quá hạn",""))</f>
        <v/>
      </c>
      <c r="E13" s="37" t="str">
        <f aca="false">IF(COUNTIF(CONG_VIEC!$J$6:$J$305,E12)=0,"",COUNTIF(CONG_VIEC!$J$6:$J$305,E12)&amp;" việc"&amp;IF(COUNTIFS(CONG_VIEC!$J$6:$J$305,E12,CONG_VIEC!$P$6:$P$305,"Quá hạn")&gt;0," · "&amp;COUNTIFS(CONG_VIEC!$J$6:$J$305,E12,CONG_VIEC!$P$6:$P$305,"Quá hạn")&amp;" quá hạn",""))</f>
        <v/>
      </c>
      <c r="F13" s="37" t="str">
        <f aca="false">IF(COUNTIF(CONG_VIEC!$J$6:$J$305,F12)=0,"",COUNTIF(CONG_VIEC!$J$6:$J$305,F12)&amp;" việc"&amp;IF(COUNTIFS(CONG_VIEC!$J$6:$J$305,F12,CONG_VIEC!$P$6:$P$305,"Quá hạn")&gt;0," · "&amp;COUNTIFS(CONG_VIEC!$J$6:$J$305,F12,CONG_VIEC!$P$6:$P$305,"Quá hạn")&amp;" quá hạn",""))</f>
        <v>1 việc</v>
      </c>
      <c r="G13" s="37" t="str">
        <f aca="false">IF(COUNTIF(CONG_VIEC!$J$6:$J$305,G12)=0,"",COUNTIF(CONG_VIEC!$J$6:$J$305,G12)&amp;" việc"&amp;IF(COUNTIFS(CONG_VIEC!$J$6:$J$305,G12,CONG_VIEC!$P$6:$P$305,"Quá hạn")&gt;0," · "&amp;COUNTIFS(CONG_VIEC!$J$6:$J$305,G12,CONG_VIEC!$P$6:$P$305,"Quá hạn")&amp;" quá hạn",""))</f>
        <v/>
      </c>
    </row>
    <row r="14" customFormat="false" ht="30" hidden="false" customHeight="true" outlineLevel="0" collapsed="false">
      <c r="A14" s="38" t="str">
        <f aca="false">IFERROR(INDEX(CONG_VIEC!$C$6:$C$305,MATCH(A12,CONG_VIEC!$J$6:$J$305,0))&amp;"","")</f>
        <v/>
      </c>
      <c r="B14" s="38" t="str">
        <f aca="false">IFERROR(INDEX(CONG_VIEC!$C$6:$C$305,MATCH(B12,CONG_VIEC!$J$6:$J$305,0))&amp;"","")</f>
        <v/>
      </c>
      <c r="C14" s="38" t="str">
        <f aca="false">IFERROR(INDEX(CONG_VIEC!$C$6:$C$305,MATCH(C12,CONG_VIEC!$J$6:$J$305,0))&amp;"","")</f>
        <v/>
      </c>
      <c r="D14" s="38" t="str">
        <f aca="false">IFERROR(INDEX(CONG_VIEC!$C$6:$C$305,MATCH(D12,CONG_VIEC!$J$6:$J$305,0))&amp;"","")</f>
        <v/>
      </c>
      <c r="E14" s="38" t="str">
        <f aca="false">IFERROR(INDEX(CONG_VIEC!$C$6:$C$305,MATCH(E12,CONG_VIEC!$J$6:$J$305,0))&amp;"","")</f>
        <v/>
      </c>
      <c r="F14" s="38" t="str">
        <f aca="false">IFERROR(INDEX(CONG_VIEC!$C$6:$C$305,MATCH(F12,CONG_VIEC!$J$6:$J$305,0))&amp;"","")</f>
        <v>[VÍ DỤ] Phun rửa đường sau sự kiện</v>
      </c>
      <c r="G14" s="38" t="str">
        <f aca="false">IFERROR(INDEX(CONG_VIEC!$C$6:$C$305,MATCH(G12,CONG_VIEC!$J$6:$J$305,0))&amp;"","")</f>
        <v/>
      </c>
    </row>
    <row r="15" customFormat="false" ht="15" hidden="false" customHeight="false" outlineLevel="0" collapsed="false">
      <c r="A15" s="36" t="n">
        <f aca="false">$E$3+21</f>
        <v>46286</v>
      </c>
      <c r="B15" s="36" t="n">
        <f aca="false">$E$3+22</f>
        <v>46287</v>
      </c>
      <c r="C15" s="36" t="n">
        <f aca="false">$E$3+23</f>
        <v>46288</v>
      </c>
      <c r="D15" s="36" t="n">
        <f aca="false">$E$3+24</f>
        <v>46289</v>
      </c>
      <c r="E15" s="36" t="n">
        <f aca="false">$E$3+25</f>
        <v>46290</v>
      </c>
      <c r="F15" s="36" t="n">
        <f aca="false">$E$3+26</f>
        <v>46291</v>
      </c>
      <c r="G15" s="36" t="n">
        <f aca="false">$E$3+27</f>
        <v>46292</v>
      </c>
    </row>
    <row r="16" customFormat="false" ht="15" hidden="false" customHeight="false" outlineLevel="0" collapsed="false">
      <c r="A16" s="37" t="str">
        <f aca="false">IF(COUNTIF(CONG_VIEC!$J$6:$J$305,A15)=0,"",COUNTIF(CONG_VIEC!$J$6:$J$305,A15)&amp;" việc"&amp;IF(COUNTIFS(CONG_VIEC!$J$6:$J$305,A15,CONG_VIEC!$P$6:$P$305,"Quá hạn")&gt;0," · "&amp;COUNTIFS(CONG_VIEC!$J$6:$J$305,A15,CONG_VIEC!$P$6:$P$305,"Quá hạn")&amp;" quá hạn",""))</f>
        <v>1 việc · 1 quá hạn</v>
      </c>
      <c r="B16" s="37" t="str">
        <f aca="false">IF(COUNTIF(CONG_VIEC!$J$6:$J$305,B15)=0,"",COUNTIF(CONG_VIEC!$J$6:$J$305,B15)&amp;" việc"&amp;IF(COUNTIFS(CONG_VIEC!$J$6:$J$305,B15,CONG_VIEC!$P$6:$P$305,"Quá hạn")&gt;0," · "&amp;COUNTIFS(CONG_VIEC!$J$6:$J$305,B15,CONG_VIEC!$P$6:$P$305,"Quá hạn")&amp;" quá hạn",""))</f>
        <v/>
      </c>
      <c r="C16" s="37" t="str">
        <f aca="false">IF(COUNTIF(CONG_VIEC!$J$6:$J$305,C15)=0,"",COUNTIF(CONG_VIEC!$J$6:$J$305,C15)&amp;" việc"&amp;IF(COUNTIFS(CONG_VIEC!$J$6:$J$305,C15,CONG_VIEC!$P$6:$P$305,"Quá hạn")&gt;0," · "&amp;COUNTIFS(CONG_VIEC!$J$6:$J$305,C15,CONG_VIEC!$P$6:$P$305,"Quá hạn")&amp;" quá hạn",""))</f>
        <v>1 việc</v>
      </c>
      <c r="D16" s="37" t="str">
        <f aca="false">IF(COUNTIF(CONG_VIEC!$J$6:$J$305,D15)=0,"",COUNTIF(CONG_VIEC!$J$6:$J$305,D15)&amp;" việc"&amp;IF(COUNTIFS(CONG_VIEC!$J$6:$J$305,D15,CONG_VIEC!$P$6:$P$305,"Quá hạn")&gt;0," · "&amp;COUNTIFS(CONG_VIEC!$J$6:$J$305,D15,CONG_VIEC!$P$6:$P$305,"Quá hạn")&amp;" quá hạn",""))</f>
        <v/>
      </c>
      <c r="E16" s="37" t="str">
        <f aca="false">IF(COUNTIF(CONG_VIEC!$J$6:$J$305,E15)=0,"",COUNTIF(CONG_VIEC!$J$6:$J$305,E15)&amp;" việc"&amp;IF(COUNTIFS(CONG_VIEC!$J$6:$J$305,E15,CONG_VIEC!$P$6:$P$305,"Quá hạn")&gt;0," · "&amp;COUNTIFS(CONG_VIEC!$J$6:$J$305,E15,CONG_VIEC!$P$6:$P$305,"Quá hạn")&amp;" quá hạn",""))</f>
        <v>1 việc</v>
      </c>
      <c r="F16" s="37" t="str">
        <f aca="false">IF(COUNTIF(CONG_VIEC!$J$6:$J$305,F15)=0,"",COUNTIF(CONG_VIEC!$J$6:$J$305,F15)&amp;" việc"&amp;IF(COUNTIFS(CONG_VIEC!$J$6:$J$305,F15,CONG_VIEC!$P$6:$P$305,"Quá hạn")&gt;0," · "&amp;COUNTIFS(CONG_VIEC!$J$6:$J$305,F15,CONG_VIEC!$P$6:$P$305,"Quá hạn")&amp;" quá hạn",""))</f>
        <v/>
      </c>
      <c r="G16" s="37" t="str">
        <f aca="false">IF(COUNTIF(CONG_VIEC!$J$6:$J$305,G15)=0,"",COUNTIF(CONG_VIEC!$J$6:$J$305,G15)&amp;" việc"&amp;IF(COUNTIFS(CONG_VIEC!$J$6:$J$305,G15,CONG_VIEC!$P$6:$P$305,"Quá hạn")&gt;0," · "&amp;COUNTIFS(CONG_VIEC!$J$6:$J$305,G15,CONG_VIEC!$P$6:$P$305,"Quá hạn")&amp;" quá hạn",""))</f>
        <v/>
      </c>
    </row>
    <row r="17" customFormat="false" ht="30" hidden="false" customHeight="true" outlineLevel="0" collapsed="false">
      <c r="A17" s="38" t="str">
        <f aca="false">IFERROR(INDEX(CONG_VIEC!$C$6:$C$305,MATCH(A15,CONG_VIEC!$J$6:$J$305,0))&amp;"","")</f>
        <v>[VÍ DỤ] Thu gom rác tồn đọng tuyến phố chính</v>
      </c>
      <c r="B17" s="38" t="str">
        <f aca="false">IFERROR(INDEX(CONG_VIEC!$C$6:$C$305,MATCH(B15,CONG_VIEC!$J$6:$J$305,0))&amp;"","")</f>
        <v/>
      </c>
      <c r="C17" s="38" t="str">
        <f aca="false">IFERROR(INDEX(CONG_VIEC!$C$6:$C$305,MATCH(C15,CONG_VIEC!$J$6:$J$305,0))&amp;"","")</f>
        <v>[VÍ DỤ] Báo cáo tiến độ vệ sinh môi trường tháng 9</v>
      </c>
      <c r="D17" s="38" t="str">
        <f aca="false">IFERROR(INDEX(CONG_VIEC!$C$6:$C$305,MATCH(D15,CONG_VIEC!$J$6:$J$305,0))&amp;"","")</f>
        <v/>
      </c>
      <c r="E17" s="38" t="str">
        <f aca="false">IFERROR(INDEX(CONG_VIEC!$C$6:$C$305,MATCH(E15,CONG_VIEC!$J$6:$J$305,0))&amp;"","")</f>
        <v>[VÍ DỤ] Sửa nắp hố ga bị vỡ theo phản ánh</v>
      </c>
      <c r="F17" s="38" t="str">
        <f aca="false">IFERROR(INDEX(CONG_VIEC!$C$6:$C$305,MATCH(F15,CONG_VIEC!$J$6:$J$305,0))&amp;"","")</f>
        <v/>
      </c>
      <c r="G17" s="38" t="str">
        <f aca="false">IFERROR(INDEX(CONG_VIEC!$C$6:$C$305,MATCH(G15,CONG_VIEC!$J$6:$J$305,0))&amp;"","")</f>
        <v/>
      </c>
    </row>
    <row r="18" customFormat="false" ht="15" hidden="false" customHeight="false" outlineLevel="0" collapsed="false">
      <c r="A18" s="36" t="n">
        <f aca="false">$E$3+28</f>
        <v>46293</v>
      </c>
      <c r="B18" s="36" t="n">
        <f aca="false">$E$3+29</f>
        <v>46294</v>
      </c>
      <c r="C18" s="36" t="n">
        <f aca="false">$E$3+30</f>
        <v>46295</v>
      </c>
      <c r="D18" s="36" t="n">
        <f aca="false">$E$3+31</f>
        <v>46296</v>
      </c>
      <c r="E18" s="36" t="n">
        <f aca="false">$E$3+32</f>
        <v>46297</v>
      </c>
      <c r="F18" s="36" t="n">
        <f aca="false">$E$3+33</f>
        <v>46298</v>
      </c>
      <c r="G18" s="36" t="n">
        <f aca="false">$E$3+34</f>
        <v>46299</v>
      </c>
    </row>
    <row r="19" customFormat="false" ht="15" hidden="false" customHeight="false" outlineLevel="0" collapsed="false">
      <c r="A19" s="37" t="str">
        <f aca="false">IF(COUNTIF(CONG_VIEC!$J$6:$J$305,A18)=0,"",COUNTIF(CONG_VIEC!$J$6:$J$305,A18)&amp;" việc"&amp;IF(COUNTIFS(CONG_VIEC!$J$6:$J$305,A18,CONG_VIEC!$P$6:$P$305,"Quá hạn")&gt;0," · "&amp;COUNTIFS(CONG_VIEC!$J$6:$J$305,A18,CONG_VIEC!$P$6:$P$305,"Quá hạn")&amp;" quá hạn",""))</f>
        <v/>
      </c>
      <c r="B19" s="37" t="str">
        <f aca="false">IF(COUNTIF(CONG_VIEC!$J$6:$J$305,B18)=0,"",COUNTIF(CONG_VIEC!$J$6:$J$305,B18)&amp;" việc"&amp;IF(COUNTIFS(CONG_VIEC!$J$6:$J$305,B18,CONG_VIEC!$P$6:$P$305,"Quá hạn")&gt;0," · "&amp;COUNTIFS(CONG_VIEC!$J$6:$J$305,B18,CONG_VIEC!$P$6:$P$305,"Quá hạn")&amp;" quá hạn",""))</f>
        <v/>
      </c>
      <c r="C19" s="37" t="str">
        <f aca="false">IF(COUNTIF(CONG_VIEC!$J$6:$J$305,C18)=0,"",COUNTIF(CONG_VIEC!$J$6:$J$305,C18)&amp;" việc"&amp;IF(COUNTIFS(CONG_VIEC!$J$6:$J$305,C18,CONG_VIEC!$P$6:$P$305,"Quá hạn")&gt;0," · "&amp;COUNTIFS(CONG_VIEC!$J$6:$J$305,C18,CONG_VIEC!$P$6:$P$305,"Quá hạn")&amp;" quá hạn",""))</f>
        <v/>
      </c>
      <c r="D19" s="37" t="str">
        <f aca="false">IF(COUNTIF(CONG_VIEC!$J$6:$J$305,D18)=0,"",COUNTIF(CONG_VIEC!$J$6:$J$305,D18)&amp;" việc"&amp;IF(COUNTIFS(CONG_VIEC!$J$6:$J$305,D18,CONG_VIEC!$P$6:$P$305,"Quá hạn")&gt;0," · "&amp;COUNTIFS(CONG_VIEC!$J$6:$J$305,D18,CONG_VIEC!$P$6:$P$305,"Quá hạn")&amp;" quá hạn",""))</f>
        <v/>
      </c>
      <c r="E19" s="37" t="str">
        <f aca="false">IF(COUNTIF(CONG_VIEC!$J$6:$J$305,E18)=0,"",COUNTIF(CONG_VIEC!$J$6:$J$305,E18)&amp;" việc"&amp;IF(COUNTIFS(CONG_VIEC!$J$6:$J$305,E18,CONG_VIEC!$P$6:$P$305,"Quá hạn")&gt;0," · "&amp;COUNTIFS(CONG_VIEC!$J$6:$J$305,E18,CONG_VIEC!$P$6:$P$305,"Quá hạn")&amp;" quá hạn",""))</f>
        <v/>
      </c>
      <c r="F19" s="37" t="str">
        <f aca="false">IF(COUNTIF(CONG_VIEC!$J$6:$J$305,F18)=0,"",COUNTIF(CONG_VIEC!$J$6:$J$305,F18)&amp;" việc"&amp;IF(COUNTIFS(CONG_VIEC!$J$6:$J$305,F18,CONG_VIEC!$P$6:$P$305,"Quá hạn")&gt;0," · "&amp;COUNTIFS(CONG_VIEC!$J$6:$J$305,F18,CONG_VIEC!$P$6:$P$305,"Quá hạn")&amp;" quá hạn",""))</f>
        <v/>
      </c>
      <c r="G19" s="37" t="str">
        <f aca="false">IF(COUNTIF(CONG_VIEC!$J$6:$J$305,G18)=0,"",COUNTIF(CONG_VIEC!$J$6:$J$305,G18)&amp;" việc"&amp;IF(COUNTIFS(CONG_VIEC!$J$6:$J$305,G18,CONG_VIEC!$P$6:$P$305,"Quá hạn")&gt;0," · "&amp;COUNTIFS(CONG_VIEC!$J$6:$J$305,G18,CONG_VIEC!$P$6:$P$305,"Quá hạn")&amp;" quá hạn",""))</f>
        <v/>
      </c>
    </row>
    <row r="20" customFormat="false" ht="30" hidden="false" customHeight="true" outlineLevel="0" collapsed="false">
      <c r="A20" s="38" t="str">
        <f aca="false">IFERROR(INDEX(CONG_VIEC!$C$6:$C$305,MATCH(A18,CONG_VIEC!$J$6:$J$305,0))&amp;"","")</f>
        <v/>
      </c>
      <c r="B20" s="38" t="str">
        <f aca="false">IFERROR(INDEX(CONG_VIEC!$C$6:$C$305,MATCH(B18,CONG_VIEC!$J$6:$J$305,0))&amp;"","")</f>
        <v/>
      </c>
      <c r="C20" s="38" t="str">
        <f aca="false">IFERROR(INDEX(CONG_VIEC!$C$6:$C$305,MATCH(C18,CONG_VIEC!$J$6:$J$305,0))&amp;"","")</f>
        <v/>
      </c>
      <c r="D20" s="38" t="str">
        <f aca="false">IFERROR(INDEX(CONG_VIEC!$C$6:$C$305,MATCH(D18,CONG_VIEC!$J$6:$J$305,0))&amp;"","")</f>
        <v/>
      </c>
      <c r="E20" s="38" t="str">
        <f aca="false">IFERROR(INDEX(CONG_VIEC!$C$6:$C$305,MATCH(E18,CONG_VIEC!$J$6:$J$305,0))&amp;"","")</f>
        <v/>
      </c>
      <c r="F20" s="38" t="str">
        <f aca="false">IFERROR(INDEX(CONG_VIEC!$C$6:$C$305,MATCH(F18,CONG_VIEC!$J$6:$J$305,0))&amp;"","")</f>
        <v/>
      </c>
      <c r="G20" s="38" t="str">
        <f aca="false">IFERROR(INDEX(CONG_VIEC!$C$6:$C$305,MATCH(G18,CONG_VIEC!$J$6:$J$305,0))&amp;"","")</f>
        <v/>
      </c>
    </row>
    <row r="21" customFormat="false" ht="15" hidden="false" customHeight="false" outlineLevel="0" collapsed="false">
      <c r="A21" s="36" t="n">
        <f aca="false">$E$3+35</f>
        <v>46300</v>
      </c>
      <c r="B21" s="36" t="n">
        <f aca="false">$E$3+36</f>
        <v>46301</v>
      </c>
      <c r="C21" s="36" t="n">
        <f aca="false">$E$3+37</f>
        <v>46302</v>
      </c>
      <c r="D21" s="36" t="n">
        <f aca="false">$E$3+38</f>
        <v>46303</v>
      </c>
      <c r="E21" s="36" t="n">
        <f aca="false">$E$3+39</f>
        <v>46304</v>
      </c>
      <c r="F21" s="36" t="n">
        <f aca="false">$E$3+40</f>
        <v>46305</v>
      </c>
      <c r="G21" s="36" t="n">
        <f aca="false">$E$3+41</f>
        <v>46306</v>
      </c>
    </row>
    <row r="22" customFormat="false" ht="15" hidden="false" customHeight="false" outlineLevel="0" collapsed="false">
      <c r="A22" s="37" t="str">
        <f aca="false">IF(COUNTIF(CONG_VIEC!$J$6:$J$305,A21)=0,"",COUNTIF(CONG_VIEC!$J$6:$J$305,A21)&amp;" việc"&amp;IF(COUNTIFS(CONG_VIEC!$J$6:$J$305,A21,CONG_VIEC!$P$6:$P$305,"Quá hạn")&gt;0," · "&amp;COUNTIFS(CONG_VIEC!$J$6:$J$305,A21,CONG_VIEC!$P$6:$P$305,"Quá hạn")&amp;" quá hạn",""))</f>
        <v/>
      </c>
      <c r="B22" s="37" t="str">
        <f aca="false">IF(COUNTIF(CONG_VIEC!$J$6:$J$305,B21)=0,"",COUNTIF(CONG_VIEC!$J$6:$J$305,B21)&amp;" việc"&amp;IF(COUNTIFS(CONG_VIEC!$J$6:$J$305,B21,CONG_VIEC!$P$6:$P$305,"Quá hạn")&gt;0," · "&amp;COUNTIFS(CONG_VIEC!$J$6:$J$305,B21,CONG_VIEC!$P$6:$P$305,"Quá hạn")&amp;" quá hạn",""))</f>
        <v/>
      </c>
      <c r="C22" s="37" t="str">
        <f aca="false">IF(COUNTIF(CONG_VIEC!$J$6:$J$305,C21)=0,"",COUNTIF(CONG_VIEC!$J$6:$J$305,C21)&amp;" việc"&amp;IF(COUNTIFS(CONG_VIEC!$J$6:$J$305,C21,CONG_VIEC!$P$6:$P$305,"Quá hạn")&gt;0," · "&amp;COUNTIFS(CONG_VIEC!$J$6:$J$305,C21,CONG_VIEC!$P$6:$P$305,"Quá hạn")&amp;" quá hạn",""))</f>
        <v>1 việc</v>
      </c>
      <c r="D22" s="37" t="str">
        <f aca="false">IF(COUNTIF(CONG_VIEC!$J$6:$J$305,D21)=0,"",COUNTIF(CONG_VIEC!$J$6:$J$305,D21)&amp;" việc"&amp;IF(COUNTIFS(CONG_VIEC!$J$6:$J$305,D21,CONG_VIEC!$P$6:$P$305,"Quá hạn")&gt;0," · "&amp;COUNTIFS(CONG_VIEC!$J$6:$J$305,D21,CONG_VIEC!$P$6:$P$305,"Quá hạn")&amp;" quá hạn",""))</f>
        <v/>
      </c>
      <c r="E22" s="37" t="str">
        <f aca="false">IF(COUNTIF(CONG_VIEC!$J$6:$J$305,E21)=0,"",COUNTIF(CONG_VIEC!$J$6:$J$305,E21)&amp;" việc"&amp;IF(COUNTIFS(CONG_VIEC!$J$6:$J$305,E21,CONG_VIEC!$P$6:$P$305,"Quá hạn")&gt;0," · "&amp;COUNTIFS(CONG_VIEC!$J$6:$J$305,E21,CONG_VIEC!$P$6:$P$305,"Quá hạn")&amp;" quá hạn",""))</f>
        <v/>
      </c>
      <c r="F22" s="37" t="str">
        <f aca="false">IF(COUNTIF(CONG_VIEC!$J$6:$J$305,F21)=0,"",COUNTIF(CONG_VIEC!$J$6:$J$305,F21)&amp;" việc"&amp;IF(COUNTIFS(CONG_VIEC!$J$6:$J$305,F21,CONG_VIEC!$P$6:$P$305,"Quá hạn")&gt;0," · "&amp;COUNTIFS(CONG_VIEC!$J$6:$J$305,F21,CONG_VIEC!$P$6:$P$305,"Quá hạn")&amp;" quá hạn",""))</f>
        <v/>
      </c>
      <c r="G22" s="37" t="str">
        <f aca="false">IF(COUNTIF(CONG_VIEC!$J$6:$J$305,G21)=0,"",COUNTIF(CONG_VIEC!$J$6:$J$305,G21)&amp;" việc"&amp;IF(COUNTIFS(CONG_VIEC!$J$6:$J$305,G21,CONG_VIEC!$P$6:$P$305,"Quá hạn")&gt;0," · "&amp;COUNTIFS(CONG_VIEC!$J$6:$J$305,G21,CONG_VIEC!$P$6:$P$305,"Quá hạn")&amp;" quá hạn",""))</f>
        <v/>
      </c>
    </row>
    <row r="23" customFormat="false" ht="30" hidden="false" customHeight="true" outlineLevel="0" collapsed="false">
      <c r="A23" s="38" t="str">
        <f aca="false">IFERROR(INDEX(CONG_VIEC!$C$6:$C$305,MATCH(A21,CONG_VIEC!$J$6:$J$305,0))&amp;"","")</f>
        <v/>
      </c>
      <c r="B23" s="38" t="str">
        <f aca="false">IFERROR(INDEX(CONG_VIEC!$C$6:$C$305,MATCH(B21,CONG_VIEC!$J$6:$J$305,0))&amp;"","")</f>
        <v/>
      </c>
      <c r="C23" s="38" t="str">
        <f aca="false">IFERROR(INDEX(CONG_VIEC!$C$6:$C$305,MATCH(C21,CONG_VIEC!$J$6:$J$305,0))&amp;"","")</f>
        <v>[VÍ DỤ] Lập kế hoạch trồng cây xanh quý IV</v>
      </c>
      <c r="D23" s="38" t="str">
        <f aca="false">IFERROR(INDEX(CONG_VIEC!$C$6:$C$305,MATCH(D21,CONG_VIEC!$J$6:$J$305,0))&amp;"","")</f>
        <v/>
      </c>
      <c r="E23" s="38" t="str">
        <f aca="false">IFERROR(INDEX(CONG_VIEC!$C$6:$C$305,MATCH(E21,CONG_VIEC!$J$6:$J$305,0))&amp;"","")</f>
        <v/>
      </c>
      <c r="F23" s="38" t="str">
        <f aca="false">IFERROR(INDEX(CONG_VIEC!$C$6:$C$305,MATCH(F21,CONG_VIEC!$J$6:$J$305,0))&amp;"","")</f>
        <v/>
      </c>
      <c r="G23" s="38" t="str">
        <f aca="false">IFERROR(INDEX(CONG_VIEC!$C$6:$C$305,MATCH(G21,CONG_VIEC!$J$6:$J$305,0))&amp;"","")</f>
        <v/>
      </c>
    </row>
  </sheetData>
  <conditionalFormatting sqref="A6:G6">
    <cfRule type="expression" priority="2" aboveAverage="0" equalAverage="0" bottom="0" percent="0" rank="0" text="" dxfId="19">
      <formula>MONTH(A6)&lt;&gt;MONTH($C$3)</formula>
    </cfRule>
  </conditionalFormatting>
  <conditionalFormatting sqref="A9:G9">
    <cfRule type="expression" priority="3" aboveAverage="0" equalAverage="0" bottom="0" percent="0" rank="0" text="" dxfId="19">
      <formula>MONTH(A9)&lt;&gt;MONTH($C$3)</formula>
    </cfRule>
  </conditionalFormatting>
  <conditionalFormatting sqref="A12:G12">
    <cfRule type="expression" priority="4" aboveAverage="0" equalAverage="0" bottom="0" percent="0" rank="0" text="" dxfId="19">
      <formula>MONTH(A12)&lt;&gt;MONTH($C$3)</formula>
    </cfRule>
  </conditionalFormatting>
  <conditionalFormatting sqref="A15:G15">
    <cfRule type="expression" priority="5" aboveAverage="0" equalAverage="0" bottom="0" percent="0" rank="0" text="" dxfId="19">
      <formula>MONTH(A15)&lt;&gt;MONTH($C$3)</formula>
    </cfRule>
  </conditionalFormatting>
  <conditionalFormatting sqref="A18:G18">
    <cfRule type="expression" priority="6" aboveAverage="0" equalAverage="0" bottom="0" percent="0" rank="0" text="" dxfId="19">
      <formula>MONTH(A18)&lt;&gt;MONTH($C$3)</formula>
    </cfRule>
  </conditionalFormatting>
  <conditionalFormatting sqref="A21:G21">
    <cfRule type="expression" priority="7" aboveAverage="0" equalAverage="0" bottom="0" percent="0" rank="0" text="" dxfId="19">
      <formula>MONTH(A21)&lt;&gt;MONTH($C$3)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26"/>
  </cols>
  <sheetData>
    <row r="1" customFormat="false" ht="19.7" hidden="false" customHeight="false" outlineLevel="0" collapsed="false">
      <c r="A1" s="1" t="s">
        <v>98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13" t="s">
        <v>99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6" t="s">
        <v>7</v>
      </c>
      <c r="B4" s="6" t="s">
        <v>8</v>
      </c>
      <c r="C4" s="6" t="s">
        <v>9</v>
      </c>
      <c r="D4" s="6" t="s">
        <v>10</v>
      </c>
      <c r="E4" s="6" t="s">
        <v>14</v>
      </c>
      <c r="F4" s="6" t="s">
        <v>100</v>
      </c>
      <c r="G4" s="2"/>
      <c r="H4" s="23" t="s">
        <v>16</v>
      </c>
    </row>
    <row r="5" customFormat="false" ht="15" hidden="false" customHeight="false" outlineLevel="0" collapsed="false">
      <c r="A5" s="39" t="s">
        <v>101</v>
      </c>
      <c r="B5" s="39" t="s">
        <v>102</v>
      </c>
      <c r="C5" s="39" t="s">
        <v>103</v>
      </c>
      <c r="D5" s="39" t="s">
        <v>37</v>
      </c>
      <c r="E5" s="40" t="s">
        <v>38</v>
      </c>
      <c r="F5" s="40" t="s">
        <v>33</v>
      </c>
      <c r="G5" s="2"/>
      <c r="H5" s="41" t="s">
        <v>104</v>
      </c>
    </row>
    <row r="6" customFormat="false" ht="15" hidden="false" customHeight="false" outlineLevel="0" collapsed="false">
      <c r="A6" s="39" t="s">
        <v>105</v>
      </c>
      <c r="B6" s="39" t="s">
        <v>106</v>
      </c>
      <c r="C6" s="39" t="s">
        <v>107</v>
      </c>
      <c r="D6" s="39" t="s">
        <v>44</v>
      </c>
      <c r="E6" s="40" t="s">
        <v>34</v>
      </c>
      <c r="F6" s="40" t="s">
        <v>41</v>
      </c>
      <c r="G6" s="2"/>
      <c r="H6" s="41" t="s">
        <v>108</v>
      </c>
    </row>
    <row r="7" customFormat="false" ht="15" hidden="false" customHeight="false" outlineLevel="0" collapsed="false">
      <c r="A7" s="39" t="s">
        <v>109</v>
      </c>
      <c r="B7" s="39" t="s">
        <v>110</v>
      </c>
      <c r="C7" s="39" t="s">
        <v>111</v>
      </c>
      <c r="D7" s="39" t="s">
        <v>40</v>
      </c>
      <c r="E7" s="40" t="s">
        <v>42</v>
      </c>
      <c r="F7" s="2"/>
      <c r="G7" s="2"/>
      <c r="H7" s="2"/>
    </row>
    <row r="8" customFormat="false" ht="15" hidden="false" customHeight="false" outlineLevel="0" collapsed="false">
      <c r="A8" s="39" t="s">
        <v>112</v>
      </c>
      <c r="B8" s="39" t="s">
        <v>113</v>
      </c>
      <c r="C8" s="39" t="s">
        <v>114</v>
      </c>
      <c r="D8" s="39" t="s">
        <v>32</v>
      </c>
      <c r="E8" s="40" t="s">
        <v>46</v>
      </c>
      <c r="F8" s="2"/>
      <c r="G8" s="2"/>
      <c r="H8" s="2"/>
    </row>
    <row r="9" customFormat="false" ht="15" hidden="false" customHeight="false" outlineLevel="0" collapsed="false">
      <c r="A9" s="39" t="s">
        <v>115</v>
      </c>
      <c r="B9" s="39" t="s">
        <v>116</v>
      </c>
      <c r="C9" s="39" t="s">
        <v>117</v>
      </c>
      <c r="D9" s="39" t="s">
        <v>118</v>
      </c>
      <c r="E9" s="2"/>
      <c r="F9" s="2"/>
      <c r="G9" s="2"/>
      <c r="H9" s="2"/>
    </row>
    <row r="10" customFormat="false" ht="15" hidden="false" customHeight="false" outlineLevel="0" collapsed="false">
      <c r="A10" s="39" t="s">
        <v>119</v>
      </c>
      <c r="B10" s="39"/>
      <c r="C10" s="39" t="s">
        <v>120</v>
      </c>
      <c r="D10" s="39"/>
      <c r="E10" s="2"/>
      <c r="F10" s="2"/>
      <c r="G10" s="2"/>
      <c r="H10" s="2"/>
    </row>
    <row r="11" customFormat="false" ht="15" hidden="false" customHeight="false" outlineLevel="0" collapsed="false">
      <c r="A11" s="39"/>
      <c r="B11" s="39"/>
      <c r="C11" s="39" t="s">
        <v>121</v>
      </c>
      <c r="D11" s="39"/>
      <c r="E11" s="2"/>
      <c r="F11" s="2"/>
      <c r="G11" s="2"/>
      <c r="H11" s="2"/>
    </row>
    <row r="12" customFormat="false" ht="15" hidden="false" customHeight="false" outlineLevel="0" collapsed="false">
      <c r="A12" s="39"/>
      <c r="B12" s="39"/>
      <c r="C12" s="39" t="s">
        <v>122</v>
      </c>
      <c r="D12" s="39"/>
      <c r="E12" s="2"/>
      <c r="F12" s="2"/>
      <c r="G12" s="2"/>
      <c r="H12" s="2"/>
    </row>
    <row r="13" customFormat="false" ht="15" hidden="false" customHeight="false" outlineLevel="0" collapsed="false">
      <c r="A13" s="39"/>
      <c r="B13" s="39"/>
      <c r="C13" s="39"/>
      <c r="D13" s="39"/>
      <c r="E13" s="2"/>
      <c r="F13" s="2"/>
      <c r="G13" s="2"/>
      <c r="H13" s="2"/>
    </row>
    <row r="14" customFormat="false" ht="15" hidden="false" customHeight="false" outlineLevel="0" collapsed="false">
      <c r="A14" s="39"/>
      <c r="B14" s="39"/>
      <c r="C14" s="39"/>
      <c r="D14" s="39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39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39"/>
      <c r="D16" s="2"/>
      <c r="E16" s="2"/>
      <c r="F16" s="2"/>
      <c r="G16" s="2"/>
      <c r="H16" s="2"/>
    </row>
    <row r="17" customFormat="false" ht="15" hidden="false" customHeight="false" outlineLevel="0" collapsed="false">
      <c r="A17" s="2"/>
      <c r="B17" s="2"/>
      <c r="C17" s="39"/>
      <c r="D17" s="2"/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39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39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39"/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2"/>
      <c r="C21" s="39"/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39"/>
      <c r="D22" s="2"/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39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39"/>
      <c r="D24" s="2"/>
      <c r="E24" s="2"/>
      <c r="F24" s="2"/>
      <c r="G24" s="2"/>
      <c r="H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2026-09-23T07:05:17Z</dcterms:created>
  <dc:creator>openpyxl</dc:creator>
  <dc:description/>
  <dc:language>en-US</dc:language>
  <cp:lastModifiedBy/>
  <dcterms:modified xsi:type="dcterms:W3CDTF">2026-09-23T07:05:20Z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