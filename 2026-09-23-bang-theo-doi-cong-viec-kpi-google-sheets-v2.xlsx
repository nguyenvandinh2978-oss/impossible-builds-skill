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G_VIEC" sheetId="1" state="visible" r:id="rId1"/>
    <sheet name="DASHBOARD" sheetId="2" state="visible" r:id="rId2"/>
    <sheet name="HOM_NAY" sheetId="3" state="visible" r:id="rId3"/>
    <sheet name="KANBAN" sheetId="4" state="visible" r:id="rId4"/>
    <sheet name="EISENHOWER" sheetId="5" state="visible" r:id="rId5"/>
    <sheet name="TUAN" sheetId="6" state="visible" r:id="rId6"/>
    <sheet name="LICH_THANG" sheetId="7" state="visible" r:id="rId7"/>
    <sheet name="DANH_MUC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dd/mm/yyyy"/>
    <numFmt numFmtId="166" formatCode="0.0%"/>
    <numFmt numFmtId="167" formatCode="dd/mm"/>
    <numFmt numFmtId="168" formatCode="mm/yyyy"/>
    <numFmt numFmtId="169" formatCode="dd"/>
  </numFmts>
  <fonts count="14">
    <font>
      <name val="Calibri"/>
      <family val="2"/>
      <color theme="1"/>
      <sz val="11"/>
      <scheme val="minor"/>
    </font>
    <font>
      <name val="Arial"/>
      <b val="1"/>
      <color rgb="001F4E78"/>
      <sz val="16"/>
    </font>
    <font>
      <name val="Arial"/>
      <i val="1"/>
      <color rgb="00595959"/>
      <sz val="10"/>
    </font>
    <font>
      <name val="Arial"/>
      <b val="1"/>
      <color rgb="00FFFFFF"/>
    </font>
    <font>
      <name val="Arial"/>
      <b val="1"/>
    </font>
    <font>
      <name val="Arial"/>
      <i val="1"/>
      <color rgb="00C00000"/>
    </font>
    <font>
      <name val="Arial"/>
      <b val="1"/>
      <color rgb="00000000"/>
    </font>
    <font>
      <name val="Arial"/>
      <b val="1"/>
      <color rgb="001F4E78"/>
      <sz val="20"/>
    </font>
    <font>
      <name val="Arial"/>
      <b val="1"/>
      <color rgb="00C00000"/>
      <sz val="20"/>
    </font>
    <font>
      <name val="Arial"/>
      <b val="1"/>
      <sz val="12"/>
    </font>
    <font>
      <name val="Arial"/>
      <i val="1"/>
      <color rgb="00808080"/>
      <sz val="9"/>
    </font>
    <font>
      <name val="Arial"/>
      <color rgb="00C00000"/>
      <sz val="9"/>
    </font>
    <font>
      <name val="Arial"/>
      <sz val="9"/>
    </font>
    <font>
      <name val="Arial"/>
      <color theme="1"/>
      <sz val="11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595959"/>
      </patternFill>
    </fill>
    <fill>
      <patternFill patternType="solid">
        <fgColor rgb="00F8CBAD"/>
      </patternFill>
    </fill>
    <fill>
      <patternFill patternType="solid">
        <fgColor rgb="00C6EFCE"/>
      </patternFill>
    </fill>
    <fill>
      <patternFill patternType="solid">
        <fgColor rgb="00FFE699"/>
      </patternFill>
    </fill>
    <fill>
      <patternFill patternType="solid">
        <fgColor rgb="00D9D9D9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13" fillId="0" borderId="0" pivotButton="0" quotePrefix="0" xfId="0"/>
    <xf numFmtId="0" fontId="4" fillId="3" borderId="0" pivotButton="0" quotePrefix="0" xfId="0"/>
    <xf numFmtId="0" fontId="5" fillId="0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164" fontId="13" fillId="0" borderId="0" pivotButton="0" quotePrefix="0" xfId="0"/>
    <xf numFmtId="0" fontId="2" fillId="0" borderId="0" pivotButton="0" quotePrefix="0" xfId="0"/>
    <xf numFmtId="165" fontId="13" fillId="0" borderId="0" pivotButton="0" quotePrefix="0" xfId="0"/>
    <xf numFmtId="1" fontId="7" fillId="0" borderId="0" applyAlignment="1" pivotButton="0" quotePrefix="0" xfId="0">
      <alignment horizontal="center"/>
    </xf>
    <xf numFmtId="1" fontId="8" fillId="0" borderId="0" applyAlignment="1" pivotButton="0" quotePrefix="0" xfId="0">
      <alignment horizontal="center"/>
    </xf>
    <xf numFmtId="166" fontId="7" fillId="0" borderId="0" applyAlignment="1" pivotButton="0" quotePrefix="0" xfId="0">
      <alignment horizontal="center"/>
    </xf>
    <xf numFmtId="0" fontId="9" fillId="0" borderId="0" pivotButton="0" quotePrefix="0" xfId="0"/>
    <xf numFmtId="166" fontId="13" fillId="0" borderId="0" pivotButton="0" quotePrefix="0" xfId="0"/>
    <xf numFmtId="0" fontId="4" fillId="0" borderId="0" pivotButton="0" quotePrefix="0" xfId="0"/>
    <xf numFmtId="0" fontId="9" fillId="5" borderId="0" applyAlignment="1" pivotButton="0" quotePrefix="0" xfId="0">
      <alignment horizontal="center"/>
    </xf>
    <xf numFmtId="0" fontId="9" fillId="6" borderId="0" applyAlignment="1" pivotButton="0" quotePrefix="0" xfId="0">
      <alignment horizontal="center"/>
    </xf>
    <xf numFmtId="0" fontId="10" fillId="0" borderId="0" pivotButton="0" quotePrefix="0" xfId="0"/>
    <xf numFmtId="0" fontId="9" fillId="7" borderId="0" applyAlignment="1" pivotButton="0" quotePrefix="0" xfId="0">
      <alignment horizontal="center"/>
    </xf>
    <xf numFmtId="0" fontId="9" fillId="8" borderId="0" applyAlignment="1" pivotButton="0" quotePrefix="0" xfId="0">
      <alignment horizontal="center"/>
    </xf>
    <xf numFmtId="165" fontId="13" fillId="3" borderId="0" pivotButton="0" quotePrefix="0" xfId="0"/>
    <xf numFmtId="0" fontId="6" fillId="9" borderId="0" applyAlignment="1" pivotButton="0" quotePrefix="0" xfId="0">
      <alignment horizontal="center" vertical="center" wrapText="1"/>
    </xf>
    <xf numFmtId="167" fontId="13" fillId="0" borderId="0" pivotButton="0" quotePrefix="0" xfId="0"/>
    <xf numFmtId="168" fontId="13" fillId="3" borderId="0" pivotButton="0" quotePrefix="0" xfId="0"/>
    <xf numFmtId="169" fontId="4" fillId="9" borderId="0" pivotButton="0" quotePrefix="0" xfId="0"/>
    <xf numFmtId="0" fontId="11" fillId="0" borderId="0" pivotButton="0" quotePrefix="0" xfId="0"/>
    <xf numFmtId="0" fontId="12" fillId="0" borderId="0" applyAlignment="1" pivotButton="0" quotePrefix="0" xfId="0">
      <alignment vertical="top" wrapText="1"/>
    </xf>
    <xf numFmtId="0" fontId="13" fillId="3" borderId="0" pivotButton="0" quotePrefix="0" xfId="0"/>
  </cellXfs>
  <cellStyles count="1">
    <cellStyle name="Normal" xfId="0" builtinId="0" hidden="0"/>
  </cellStyles>
  <dxfs count="7">
    <dxf>
      <fill>
        <patternFill patternType="solid">
          <fgColor rgb="00FFF2CC"/>
        </patternFill>
      </fill>
    </dxf>
    <dxf>
      <fill>
        <patternFill patternType="solid">
          <fgColor rgb="00EDEDED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FFE699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E4DFEC"/>
        </patternFill>
      </fill>
    </dxf>
    <dxf>
      <font>
        <color rgb="00BFBFBF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Việc đang mở / quá hạn theo người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'DASHBOARD'!C23</f>
            </strRef>
          </tx>
          <spPr>
            <a:ln>
              <a:prstDash val="solid"/>
            </a:ln>
          </spPr>
          <cat>
            <numRef>
              <f>'DASHBOARD'!$A$24:$A$43</f>
            </numRef>
          </cat>
          <val>
            <numRef>
              <f>'DASHBOARD'!$C$24:$C$43</f>
            </numRef>
          </val>
        </ser>
        <ser>
          <idx val="1"/>
          <order val="1"/>
          <tx>
            <strRef>
              <f>'DASHBOARD'!D23</f>
            </strRef>
          </tx>
          <spPr>
            <a:ln>
              <a:prstDash val="solid"/>
            </a:ln>
          </spPr>
          <cat>
            <numRef>
              <f>'DASHBOARD'!$A$24:$A$43</f>
            </numRef>
          </cat>
          <val>
            <numRef>
              <f>'DASHBOARD'!$D$24:$D$43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9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42" customWidth="1" min="3" max="3"/>
    <col width="20" customWidth="1" min="4" max="4"/>
    <col width="20" customWidth="1" min="5" max="5"/>
    <col width="20" customWidth="1" min="6" max="6"/>
    <col width="18" customWidth="1" min="7" max="7"/>
    <col width="11" customWidth="1" min="8" max="8"/>
    <col width="11" customWidth="1" min="9" max="9"/>
    <col width="13" customWidth="1" min="10" max="10"/>
    <col width="13" customWidth="1" min="11" max="11"/>
    <col width="13" customWidth="1" min="12" max="12"/>
    <col width="28" customWidth="1" min="13" max="13"/>
    <col width="15" customWidth="1" min="14" max="14"/>
    <col width="10" customWidth="1" min="15" max="15"/>
    <col width="16" customWidth="1" min="16" max="16"/>
    <col width="9" customWidth="1" min="17" max="17"/>
    <col width="13" customWidth="1" min="18" max="18"/>
  </cols>
  <sheetData>
    <row r="1">
      <c r="A1" s="1" t="inlineStr">
        <is>
          <t>SỔ CÔNG VIỆC — NƠI NHẬP LIỆU DUY NHẤT (tối đa 300 việc)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>
      <c r="A2" s="3" t="inlineStr">
        <is>
          <t>Ô nền VÀNG: nhập. Cột nền XÁM (A, N–R): mỗi cột MỘT công thức ở dòng 6 tự tính cho cả 300 dòng — không gõ đè vào cột xám.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</row>
    <row r="3">
      <c r="A3" s="4" t="inlineStr">
        <is>
          <t>5 dòng [VÍ DỤ] chỉ để minh họa — xóa nội dung các ô vàng của chúng trước khi dùng thật.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</row>
    <row r="5" ht="32" customHeight="1">
      <c r="A5" s="5" t="inlineStr">
        <is>
          <t>Mã việc</t>
        </is>
      </c>
      <c r="B5" s="6" t="inlineStr">
        <is>
          <t>Ngày giao</t>
        </is>
      </c>
      <c r="C5" s="6" t="inlineStr">
        <is>
          <t>Tên công việc</t>
        </is>
      </c>
      <c r="D5" s="6" t="inlineStr">
        <is>
          <t>Đơn vị</t>
        </is>
      </c>
      <c r="E5" s="6" t="inlineStr">
        <is>
          <t>Phường / địa bàn</t>
        </is>
      </c>
      <c r="F5" s="6" t="inlineStr">
        <is>
          <t>Người phụ trách</t>
        </is>
      </c>
      <c r="G5" s="6" t="inlineStr">
        <is>
          <t>Nguồn việc</t>
        </is>
      </c>
      <c r="H5" s="6" t="inlineStr">
        <is>
          <t>Quan trọng?</t>
        </is>
      </c>
      <c r="I5" s="6" t="inlineStr">
        <is>
          <t>Khẩn cấp?</t>
        </is>
      </c>
      <c r="J5" s="6" t="inlineStr">
        <is>
          <t>Hạn hoàn thành</t>
        </is>
      </c>
      <c r="K5" s="6" t="inlineStr">
        <is>
          <t>Trạng thái</t>
        </is>
      </c>
      <c r="L5" s="6" t="inlineStr">
        <is>
          <t>Ngày hoàn thành</t>
        </is>
      </c>
      <c r="M5" s="6" t="inlineStr">
        <is>
          <t>Ghi chú</t>
        </is>
      </c>
      <c r="N5" s="5" t="inlineStr">
        <is>
          <t>Nhóm ưu tiên</t>
        </is>
      </c>
      <c r="O5" s="5" t="inlineStr">
        <is>
          <t>Số ngày còn lại</t>
        </is>
      </c>
      <c r="P5" s="5" t="inlineStr">
        <is>
          <t>Tình trạng hạn</t>
        </is>
      </c>
      <c r="Q5" s="5" t="inlineStr">
        <is>
          <t>Tuần (theo hạn)</t>
        </is>
      </c>
      <c r="R5" s="5" t="inlineStr">
        <is>
          <t>Trạng thái (chuẩn)</t>
        </is>
      </c>
    </row>
    <row r="6">
      <c r="A6" s="2">
        <f>ARRAYFORMULA(IF(C6:C305="","","CV"&amp;TEXT(ROW(C6:C305)-5,"000")))</f>
        <v/>
      </c>
      <c r="B6" s="7" t="n">
        <v>46278</v>
      </c>
      <c r="C6" s="2" t="inlineStr">
        <is>
          <t>[VÍ DỤ] Thu gom rác tồn đọng tuyến phố chính</t>
        </is>
      </c>
      <c r="D6" s="2">
        <f>DANH_MUC!A5</f>
        <v/>
      </c>
      <c r="E6" s="2">
        <f>DANH_MUC!B5</f>
        <v/>
      </c>
      <c r="F6" s="2">
        <f>DANH_MUC!C5</f>
        <v/>
      </c>
      <c r="G6" s="2" t="inlineStr">
        <is>
          <t>Phát sinh nội bộ</t>
        </is>
      </c>
      <c r="H6" s="2" t="inlineStr">
        <is>
          <t>Có</t>
        </is>
      </c>
      <c r="I6" s="2" t="inlineStr">
        <is>
          <t>Có</t>
        </is>
      </c>
      <c r="J6" s="7" t="n">
        <v>46286</v>
      </c>
      <c r="K6" s="2" t="inlineStr">
        <is>
          <t>Đang làm</t>
        </is>
      </c>
      <c r="L6" s="2" t="n"/>
      <c r="M6" s="2" t="inlineStr">
        <is>
          <t>Dữ liệu minh họa</t>
        </is>
      </c>
      <c r="N6" s="2">
        <f>ARRAYFORMULA(IF(C6:C305="","",IF((H6:H305="Có")*(I6:I305="Có"),"1. Làm ngay",IF(H6:H305="Có","2. Lên lịch",IF(I6:I305="Có","3. Giao lại","4. Để sau")))))</f>
        <v/>
      </c>
      <c r="O6" s="2">
        <f>ARRAYFORMULA(IF((C6:C305="")+(J6:J305="")+(K6:K305="Hoàn thành"),"",J6:J305-TODAY()))</f>
        <v/>
      </c>
      <c r="P6" s="2">
        <f>ARRAYFORMULA(IF(C6:C305="","",IF(K6:K305="Hoàn thành",IF((L6:L305="")+(J6:J305=""),"Xong (thiếu ngày)",IF(L6:L305&lt;=J6:J305,"Xong đúng hạn","Xong trễ")),IF(J6:J305="","Chưa có hạn",IF(J6:J305&lt;TODAY(),"Quá hạn",IF(J6:J305=TODAY(),"Đến hạn hôm nay",IF(J6:J305-TODAY()&lt;=3,"Sắp đến hạn","Trong hạn")))))))</f>
        <v/>
      </c>
      <c r="Q6" s="2">
        <f>ARRAYFORMULA(IF((C6:C305="")+(J6:J305=""),"",WEEKNUM(J6:J305,21)))</f>
        <v/>
      </c>
      <c r="R6" s="2">
        <f>ARRAYFORMULA(IF(C6:C305="","",IF(K6:K305="","Chưa làm",K6:K305)))</f>
        <v/>
      </c>
    </row>
    <row r="7">
      <c r="A7" s="2" t="n"/>
      <c r="B7" s="7" t="n">
        <v>46283</v>
      </c>
      <c r="C7" s="2" t="inlineStr">
        <is>
          <t>[VÍ DỤ] Báo cáo tiến độ vệ sinh môi trường tháng 9</t>
        </is>
      </c>
      <c r="D7" s="2">
        <f>DANH_MUC!A6</f>
        <v/>
      </c>
      <c r="E7" s="2" t="n"/>
      <c r="F7" s="2">
        <f>DANH_MUC!C6</f>
        <v/>
      </c>
      <c r="G7" s="2" t="inlineStr">
        <is>
          <t>Cấp trên giao</t>
        </is>
      </c>
      <c r="H7" s="2" t="inlineStr">
        <is>
          <t>Có</t>
        </is>
      </c>
      <c r="I7" s="2" t="inlineStr">
        <is>
          <t>Có</t>
        </is>
      </c>
      <c r="J7" s="7" t="n">
        <v>46288</v>
      </c>
      <c r="K7" s="2" t="inlineStr">
        <is>
          <t>Chưa làm</t>
        </is>
      </c>
      <c r="L7" s="2" t="n"/>
      <c r="M7" s="2" t="inlineStr">
        <is>
          <t>Dữ liệu minh họa</t>
        </is>
      </c>
      <c r="N7" s="2" t="n"/>
      <c r="O7" s="2" t="n"/>
      <c r="P7" s="2" t="n"/>
      <c r="Q7" s="2" t="n"/>
      <c r="R7" s="2" t="n"/>
    </row>
    <row r="8">
      <c r="A8" s="2" t="n"/>
      <c r="B8" s="7" t="n">
        <v>46281</v>
      </c>
      <c r="C8" s="2" t="inlineStr">
        <is>
          <t>[VÍ DỤ] Sửa nắp hố ga bị vỡ theo phản ánh</t>
        </is>
      </c>
      <c r="D8" s="2">
        <f>DANH_MUC!A7</f>
        <v/>
      </c>
      <c r="E8" s="2">
        <f>DANH_MUC!B6</f>
        <v/>
      </c>
      <c r="F8" s="2">
        <f>DANH_MUC!C7</f>
        <v/>
      </c>
      <c r="G8" s="2" t="inlineStr">
        <is>
          <t>Phản ánh của dân</t>
        </is>
      </c>
      <c r="H8" s="2" t="inlineStr">
        <is>
          <t>Không</t>
        </is>
      </c>
      <c r="I8" s="2" t="inlineStr">
        <is>
          <t>Có</t>
        </is>
      </c>
      <c r="J8" s="7" t="n">
        <v>46290</v>
      </c>
      <c r="K8" s="2" t="inlineStr">
        <is>
          <t>Chờ duyệt</t>
        </is>
      </c>
      <c r="L8" s="2" t="n"/>
      <c r="M8" s="2" t="inlineStr">
        <is>
          <t>Dữ liệu minh họa</t>
        </is>
      </c>
      <c r="N8" s="2" t="n"/>
      <c r="O8" s="2" t="n"/>
      <c r="P8" s="2" t="n"/>
      <c r="Q8" s="2" t="n"/>
      <c r="R8" s="2" t="n"/>
    </row>
    <row r="9">
      <c r="A9" s="2" t="n"/>
      <c r="B9" s="7" t="n">
        <v>46285</v>
      </c>
      <c r="C9" s="2" t="inlineStr">
        <is>
          <t>[VÍ DỤ] Lập kế hoạch trồng cây xanh quý IV</t>
        </is>
      </c>
      <c r="D9" s="2">
        <f>DANH_MUC!A6</f>
        <v/>
      </c>
      <c r="E9" s="2">
        <f>DANH_MUC!B7</f>
        <v/>
      </c>
      <c r="F9" s="2">
        <f>DANH_MUC!C8</f>
        <v/>
      </c>
      <c r="G9" s="2" t="inlineStr">
        <is>
          <t>Nghị quyết / kế hoạch</t>
        </is>
      </c>
      <c r="H9" s="2" t="inlineStr">
        <is>
          <t>Có</t>
        </is>
      </c>
      <c r="I9" s="2" t="inlineStr">
        <is>
          <t>Không</t>
        </is>
      </c>
      <c r="J9" s="7" t="n">
        <v>46302</v>
      </c>
      <c r="K9" s="2" t="inlineStr">
        <is>
          <t>Chưa làm</t>
        </is>
      </c>
      <c r="L9" s="2" t="n"/>
      <c r="M9" s="2" t="inlineStr">
        <is>
          <t>Dữ liệu minh họa</t>
        </is>
      </c>
      <c r="N9" s="2" t="n"/>
      <c r="O9" s="2" t="n"/>
      <c r="P9" s="2" t="n"/>
      <c r="Q9" s="2" t="n"/>
      <c r="R9" s="2" t="n"/>
    </row>
    <row r="10">
      <c r="A10" s="2" t="n"/>
      <c r="B10" s="7" t="n">
        <v>46276</v>
      </c>
      <c r="C10" s="2" t="inlineStr">
        <is>
          <t>[VÍ DỤ] Phun rửa đường sau sự kiện</t>
        </is>
      </c>
      <c r="D10" s="2">
        <f>DANH_MUC!A5</f>
        <v/>
      </c>
      <c r="E10" s="2">
        <f>DANH_MUC!B8</f>
        <v/>
      </c>
      <c r="F10" s="2">
        <f>DANH_MUC!C5</f>
        <v/>
      </c>
      <c r="G10" s="2" t="inlineStr">
        <is>
          <t>Phát sinh nội bộ</t>
        </is>
      </c>
      <c r="H10" s="2" t="inlineStr">
        <is>
          <t>Không</t>
        </is>
      </c>
      <c r="I10" s="2" t="inlineStr">
        <is>
          <t>Không</t>
        </is>
      </c>
      <c r="J10" s="7" t="n">
        <v>46284</v>
      </c>
      <c r="K10" s="2" t="inlineStr">
        <is>
          <t>Hoàn thành</t>
        </is>
      </c>
      <c r="L10" s="7" t="n">
        <v>46283</v>
      </c>
      <c r="M10" s="2" t="inlineStr">
        <is>
          <t>Dữ liệu minh họa</t>
        </is>
      </c>
      <c r="N10" s="2" t="n"/>
      <c r="O10" s="2" t="n"/>
      <c r="P10" s="2" t="n"/>
      <c r="Q10" s="2" t="n"/>
      <c r="R10" s="2" t="n"/>
    </row>
  </sheetData>
  <conditionalFormatting sqref="B6:M305">
    <cfRule type="expression" priority="1" dxfId="0">
      <formula>TRUE</formula>
    </cfRule>
  </conditionalFormatting>
  <conditionalFormatting sqref="A6:A305">
    <cfRule type="expression" priority="2" dxfId="1">
      <formula>TRUE</formula>
    </cfRule>
  </conditionalFormatting>
  <conditionalFormatting sqref="N6:O305">
    <cfRule type="expression" priority="3" dxfId="1">
      <formula>TRUE</formula>
    </cfRule>
  </conditionalFormatting>
  <conditionalFormatting sqref="Q6:R305">
    <cfRule type="expression" priority="4" dxfId="1">
      <formula>TRUE</formula>
    </cfRule>
  </conditionalFormatting>
  <conditionalFormatting sqref="P6:P305">
    <cfRule type="cellIs" priority="5" operator="equal" dxfId="2">
      <formula>"Quá hạn"</formula>
    </cfRule>
    <cfRule type="cellIs" priority="6" operator="equal" dxfId="2">
      <formula>"Đến hạn hôm nay"</formula>
    </cfRule>
    <cfRule type="cellIs" priority="7" operator="equal" dxfId="3">
      <formula>"Sắp đến hạn"</formula>
    </cfRule>
    <cfRule type="cellIs" priority="8" operator="equal" dxfId="4">
      <formula>"Xong đúng hạn"</formula>
    </cfRule>
    <cfRule type="cellIs" priority="9" operator="equal" dxfId="5">
      <formula>"Xong trễ"</formula>
    </cfRule>
  </conditionalFormatting>
  <dataValidations count="8">
    <dataValidation sqref="D6:D305" showDropDown="0" showInputMessage="0" showErrorMessage="1" allowBlank="1" error="Chọn từ danh sách (sửa danh sách ở sheet DANH_MUC)." type="list">
      <formula1>=DANH_MUC!$A$5:$A$14</formula1>
    </dataValidation>
    <dataValidation sqref="E6:E305" showDropDown="0" showInputMessage="0" showErrorMessage="1" allowBlank="1" error="Chọn từ danh sách (sửa danh sách ở sheet DANH_MUC)." type="list">
      <formula1>=DANH_MUC!$B$5:$B$14</formula1>
    </dataValidation>
    <dataValidation sqref="F6:F305" showDropDown="0" showInputMessage="0" showErrorMessage="1" allowBlank="1" error="Chọn từ danh sách (sửa danh sách ở sheet DANH_MUC)." type="list">
      <formula1>=DANH_MUC!$C$5:$C$24</formula1>
    </dataValidation>
    <dataValidation sqref="G6:G305" showDropDown="0" showInputMessage="0" showErrorMessage="1" allowBlank="1" error="Chọn từ danh sách (sửa danh sách ở sheet DANH_MUC)." type="list">
      <formula1>=DANH_MUC!$D$5:$D$14</formula1>
    </dataValidation>
    <dataValidation sqref="H6:H305" showDropDown="0" showInputMessage="0" showErrorMessage="1" allowBlank="1" error="Chọn từ danh sách (sửa danh sách ở sheet DANH_MUC)." type="list">
      <formula1>=DANH_MUC!$F$5:$F$6</formula1>
    </dataValidation>
    <dataValidation sqref="I6:I305" showDropDown="0" showInputMessage="0" showErrorMessage="1" allowBlank="1" error="Chọn từ danh sách (sửa danh sách ở sheet DANH_MUC)." type="list">
      <formula1>=DANH_MUC!$F$5:$F$6</formula1>
    </dataValidation>
    <dataValidation sqref="K6:K305" showDropDown="0" showInputMessage="0" showErrorMessage="1" allowBlank="1" error="Chọn từ danh sách (sửa danh sách ở sheet DANH_MUC)." type="list">
      <formula1>=DANH_MUC!$E$5:$E$8</formula1>
    </dataValidation>
    <dataValidation sqref="B6:B305 J6:J305 L6:L305" showDropDown="0" showInputMessage="0" showErrorMessage="1" allowBlank="0" error="Nhập ngày dạng dd/mm/yyyy." type="date" operator="greaterThan">
      <formula1>36526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DASHBOARD &amp; KPI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8" t="inlineStr">
        <is>
          <t>Tự tính từ CONG_VIEC. Tỷ lệ đúng hạn = Xong đúng hạn / (Xong đúng hạn + Xong trễ).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Cập nhật đến:</t>
        </is>
      </c>
      <c r="B3" s="9">
        <f>TODAY()</f>
        <v/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6" t="inlineStr">
        <is>
          <t>Tổng số việc</t>
        </is>
      </c>
      <c r="B5" s="2" t="n"/>
      <c r="C5" s="6" t="inlineStr">
        <is>
          <t>Đang mở</t>
        </is>
      </c>
      <c r="D5" s="2" t="n"/>
      <c r="E5" s="6" t="inlineStr">
        <is>
          <t>Quá hạn</t>
        </is>
      </c>
      <c r="F5" s="2" t="n"/>
      <c r="G5" s="6" t="inlineStr">
        <is>
          <t>Đến hạn trong 3 ngày</t>
        </is>
      </c>
      <c r="H5" s="2" t="n"/>
      <c r="I5" s="6" t="inlineStr">
        <is>
          <t>Đã hoàn thành</t>
        </is>
      </c>
      <c r="J5" s="2" t="n"/>
      <c r="K5" s="6" t="inlineStr">
        <is>
          <t>Tỷ lệ xong đúng hạn</t>
        </is>
      </c>
      <c r="L5" s="2" t="n"/>
      <c r="M5" s="6" t="inlineStr">
        <is>
          <t>KPI 1: có hạn + có người</t>
        </is>
      </c>
      <c r="N5" s="2" t="n"/>
    </row>
    <row r="6" ht="34" customHeight="1">
      <c r="A6" s="10">
        <f>COUNTIF(CONG_VIEC!C6:C305,"?*")</f>
        <v/>
      </c>
      <c r="B6" s="2" t="n"/>
      <c r="C6" s="10">
        <f>COUNTIF(CONG_VIEC!C6:C305,"?*")-COUNTIF(CONG_VIEC!K6:K305,"Hoàn thành")</f>
        <v/>
      </c>
      <c r="D6" s="2" t="n"/>
      <c r="E6" s="11">
        <f>COUNTIF(CONG_VIEC!P6:P305,"Quá hạn")</f>
        <v/>
      </c>
      <c r="F6" s="2" t="n"/>
      <c r="G6" s="10">
        <f>COUNTIF(CONG_VIEC!P6:P305,"Sắp đến hạn")+COUNTIF(CONG_VIEC!P6:P305,"Đến hạn hôm nay")</f>
        <v/>
      </c>
      <c r="H6" s="2" t="n"/>
      <c r="I6" s="10">
        <f>COUNTIF(CONG_VIEC!K6:K305,"Hoàn thành")</f>
        <v/>
      </c>
      <c r="J6" s="2" t="n"/>
      <c r="K6" s="12">
        <f>IFERROR(COUNTIF(CONG_VIEC!P6:P305,"Xong đúng hạn")/(COUNTIF(CONG_VIEC!P6:P305,"Xong đúng hạn")+COUNTIF(CONG_VIEC!P6:P305,"Xong trễ")),"-")</f>
        <v/>
      </c>
      <c r="L6" s="2" t="n"/>
      <c r="M6" s="12">
        <f>IFERROR(COUNTIFS(CONG_VIEC!C6:C305,"?*",CONG_VIEC!J6:J305,"&lt;&gt;",CONG_VIEC!F6:F305,"?*")/COUNTIF(CONG_VIEC!C6:C305,"?*"),"-")</f>
        <v/>
      </c>
      <c r="N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inlineStr">
        <is>
          <t>Mục tiêu KPI 1: 100%</t>
        </is>
      </c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13" t="inlineStr">
        <is>
          <t>THỐNG KÊ THEO ĐƠN VỊ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6" t="inlineStr">
        <is>
          <t>Đơn vị</t>
        </is>
      </c>
      <c r="B10" s="6" t="inlineStr">
        <is>
          <t>Tổng việc</t>
        </is>
      </c>
      <c r="C10" s="6" t="inlineStr">
        <is>
          <t>Đang mở</t>
        </is>
      </c>
      <c r="D10" s="6" t="inlineStr">
        <is>
          <t>Quá hạn</t>
        </is>
      </c>
      <c r="E10" s="6" t="inlineStr">
        <is>
          <t>Đến hạn ≤3 ngày</t>
        </is>
      </c>
      <c r="F10" s="6" t="inlineStr">
        <is>
          <t>Hoàn thành</t>
        </is>
      </c>
      <c r="G10" s="6" t="inlineStr">
        <is>
          <t>Xong đúng hạn</t>
        </is>
      </c>
      <c r="H10" s="6" t="inlineStr">
        <is>
          <t>Xong trễ</t>
        </is>
      </c>
      <c r="I10" s="6" t="inlineStr">
        <is>
          <t>Tỷ lệ đúng hạn</t>
        </is>
      </c>
      <c r="J10" s="6" t="inlineStr">
        <is>
          <t>Tỷ lệ hoàn thành</t>
        </is>
      </c>
      <c r="K10" s="2" t="n"/>
      <c r="L10" s="2" t="n"/>
      <c r="M10" s="2" t="n"/>
      <c r="N10" s="2" t="n"/>
    </row>
    <row r="11">
      <c r="A11" s="2">
        <f>ARRAYFORMULA(IF(DANH_MUC!A5:A14="","",DANH_MUC!A5:A14))</f>
        <v/>
      </c>
      <c r="B11" s="2">
        <f>IF(A11="","",COUNTIF(CONG_VIEC!D6:D305,A11))</f>
        <v/>
      </c>
      <c r="C11" s="2">
        <f>IF(A11="","",B11-COUNTIFS(CONG_VIEC!D6:D305,A11,CONG_VIEC!K6:K305,"Hoàn thành"))</f>
        <v/>
      </c>
      <c r="D11" s="2">
        <f>IF(A11="","",COUNTIFS(CONG_VIEC!D6:D305,A11,CONG_VIEC!P6:P305,"Quá hạn"))</f>
        <v/>
      </c>
      <c r="E11" s="2">
        <f>IF(A11="","",COUNTIFS(CONG_VIEC!D6:D305,A11,CONG_VIEC!P6:P305,"Sắp đến hạn")+COUNTIFS(CONG_VIEC!D6:D305,A11,CONG_VIEC!P6:P305,"Đến hạn hôm nay"))</f>
        <v/>
      </c>
      <c r="F11" s="2">
        <f>IF(A11="","",COUNTIFS(CONG_VIEC!D6:D305,A11,CONG_VIEC!K6:K305,"Hoàn thành"))</f>
        <v/>
      </c>
      <c r="G11" s="2">
        <f>IF(A11="","",COUNTIFS(CONG_VIEC!D6:D305,A11,CONG_VIEC!P6:P305,"Xong đúng hạn"))</f>
        <v/>
      </c>
      <c r="H11" s="2">
        <f>IF(A11="","",COUNTIFS(CONG_VIEC!D6:D305,A11,CONG_VIEC!P6:P305,"Xong trễ"))</f>
        <v/>
      </c>
      <c r="I11" s="14">
        <f>ARRAYFORMULA(IF(A11:A20="","",IFERROR(G11:G20/(G11:G20+H11:H20),"-")))</f>
        <v/>
      </c>
      <c r="J11" s="14">
        <f>ARRAYFORMULA(IF(A11:A20="","",IFERROR(F11:F20/B11:B20,"-")))</f>
        <v/>
      </c>
      <c r="K11" s="2" t="n"/>
      <c r="L11" s="2" t="n"/>
      <c r="M11" s="2" t="n"/>
      <c r="N11" s="2" t="n"/>
    </row>
    <row r="12">
      <c r="A12" s="2" t="n"/>
      <c r="B12" s="2">
        <f>IF(A12="","",COUNTIF(CONG_VIEC!D6:D305,A12))</f>
        <v/>
      </c>
      <c r="C12" s="2">
        <f>IF(A12="","",B12-COUNTIFS(CONG_VIEC!D6:D305,A12,CONG_VIEC!K6:K305,"Hoàn thành"))</f>
        <v/>
      </c>
      <c r="D12" s="2">
        <f>IF(A12="","",COUNTIFS(CONG_VIEC!D6:D305,A12,CONG_VIEC!P6:P305,"Quá hạn"))</f>
        <v/>
      </c>
      <c r="E12" s="2">
        <f>IF(A12="","",COUNTIFS(CONG_VIEC!D6:D305,A12,CONG_VIEC!P6:P305,"Sắp đến hạn")+COUNTIFS(CONG_VIEC!D6:D305,A12,CONG_VIEC!P6:P305,"Đến hạn hôm nay"))</f>
        <v/>
      </c>
      <c r="F12" s="2">
        <f>IF(A12="","",COUNTIFS(CONG_VIEC!D6:D305,A12,CONG_VIEC!K6:K305,"Hoàn thành"))</f>
        <v/>
      </c>
      <c r="G12" s="2">
        <f>IF(A12="","",COUNTIFS(CONG_VIEC!D6:D305,A12,CONG_VIEC!P6:P305,"Xong đúng hạn"))</f>
        <v/>
      </c>
      <c r="H12" s="2">
        <f>IF(A12="","",COUNTIFS(CONG_VIEC!D6:D305,A12,CONG_VIEC!P6:P305,"Xong trễ"))</f>
        <v/>
      </c>
      <c r="I12" s="14" t="n"/>
      <c r="J12" s="14" t="n"/>
      <c r="K12" s="2" t="n"/>
      <c r="L12" s="2" t="n"/>
      <c r="M12" s="2" t="n"/>
      <c r="N12" s="2" t="n"/>
    </row>
    <row r="13">
      <c r="A13" s="2" t="n"/>
      <c r="B13" s="2">
        <f>IF(A13="","",COUNTIF(CONG_VIEC!D6:D305,A13))</f>
        <v/>
      </c>
      <c r="C13" s="2">
        <f>IF(A13="","",B13-COUNTIFS(CONG_VIEC!D6:D305,A13,CONG_VIEC!K6:K305,"Hoàn thành"))</f>
        <v/>
      </c>
      <c r="D13" s="2">
        <f>IF(A13="","",COUNTIFS(CONG_VIEC!D6:D305,A13,CONG_VIEC!P6:P305,"Quá hạn"))</f>
        <v/>
      </c>
      <c r="E13" s="2">
        <f>IF(A13="","",COUNTIFS(CONG_VIEC!D6:D305,A13,CONG_VIEC!P6:P305,"Sắp đến hạn")+COUNTIFS(CONG_VIEC!D6:D305,A13,CONG_VIEC!P6:P305,"Đến hạn hôm nay"))</f>
        <v/>
      </c>
      <c r="F13" s="2">
        <f>IF(A13="","",COUNTIFS(CONG_VIEC!D6:D305,A13,CONG_VIEC!K6:K305,"Hoàn thành"))</f>
        <v/>
      </c>
      <c r="G13" s="2">
        <f>IF(A13="","",COUNTIFS(CONG_VIEC!D6:D305,A13,CONG_VIEC!P6:P305,"Xong đúng hạn"))</f>
        <v/>
      </c>
      <c r="H13" s="2">
        <f>IF(A13="","",COUNTIFS(CONG_VIEC!D6:D305,A13,CONG_VIEC!P6:P305,"Xong trễ"))</f>
        <v/>
      </c>
      <c r="I13" s="14" t="n"/>
      <c r="J13" s="14" t="n"/>
      <c r="K13" s="2" t="n"/>
      <c r="L13" s="2" t="n"/>
      <c r="M13" s="2" t="n"/>
      <c r="N13" s="2" t="n"/>
    </row>
    <row r="14">
      <c r="A14" s="2" t="n"/>
      <c r="B14" s="2">
        <f>IF(A14="","",COUNTIF(CONG_VIEC!D6:D305,A14))</f>
        <v/>
      </c>
      <c r="C14" s="2">
        <f>IF(A14="","",B14-COUNTIFS(CONG_VIEC!D6:D305,A14,CONG_VIEC!K6:K305,"Hoàn thành"))</f>
        <v/>
      </c>
      <c r="D14" s="2">
        <f>IF(A14="","",COUNTIFS(CONG_VIEC!D6:D305,A14,CONG_VIEC!P6:P305,"Quá hạn"))</f>
        <v/>
      </c>
      <c r="E14" s="2">
        <f>IF(A14="","",COUNTIFS(CONG_VIEC!D6:D305,A14,CONG_VIEC!P6:P305,"Sắp đến hạn")+COUNTIFS(CONG_VIEC!D6:D305,A14,CONG_VIEC!P6:P305,"Đến hạn hôm nay"))</f>
        <v/>
      </c>
      <c r="F14" s="2">
        <f>IF(A14="","",COUNTIFS(CONG_VIEC!D6:D305,A14,CONG_VIEC!K6:K305,"Hoàn thành"))</f>
        <v/>
      </c>
      <c r="G14" s="2">
        <f>IF(A14="","",COUNTIFS(CONG_VIEC!D6:D305,A14,CONG_VIEC!P6:P305,"Xong đúng hạn"))</f>
        <v/>
      </c>
      <c r="H14" s="2">
        <f>IF(A14="","",COUNTIFS(CONG_VIEC!D6:D305,A14,CONG_VIEC!P6:P305,"Xong trễ"))</f>
        <v/>
      </c>
      <c r="I14" s="14" t="n"/>
      <c r="J14" s="14" t="n"/>
      <c r="K14" s="2" t="n"/>
      <c r="L14" s="2" t="n"/>
      <c r="M14" s="2" t="n"/>
      <c r="N14" s="2" t="n"/>
    </row>
    <row r="15">
      <c r="A15" s="2" t="n"/>
      <c r="B15" s="2">
        <f>IF(A15="","",COUNTIF(CONG_VIEC!D6:D305,A15))</f>
        <v/>
      </c>
      <c r="C15" s="2">
        <f>IF(A15="","",B15-COUNTIFS(CONG_VIEC!D6:D305,A15,CONG_VIEC!K6:K305,"Hoàn thành"))</f>
        <v/>
      </c>
      <c r="D15" s="2">
        <f>IF(A15="","",COUNTIFS(CONG_VIEC!D6:D305,A15,CONG_VIEC!P6:P305,"Quá hạn"))</f>
        <v/>
      </c>
      <c r="E15" s="2">
        <f>IF(A15="","",COUNTIFS(CONG_VIEC!D6:D305,A15,CONG_VIEC!P6:P305,"Sắp đến hạn")+COUNTIFS(CONG_VIEC!D6:D305,A15,CONG_VIEC!P6:P305,"Đến hạn hôm nay"))</f>
        <v/>
      </c>
      <c r="F15" s="2">
        <f>IF(A15="","",COUNTIFS(CONG_VIEC!D6:D305,A15,CONG_VIEC!K6:K305,"Hoàn thành"))</f>
        <v/>
      </c>
      <c r="G15" s="2">
        <f>IF(A15="","",COUNTIFS(CONG_VIEC!D6:D305,A15,CONG_VIEC!P6:P305,"Xong đúng hạn"))</f>
        <v/>
      </c>
      <c r="H15" s="2">
        <f>IF(A15="","",COUNTIFS(CONG_VIEC!D6:D305,A15,CONG_VIEC!P6:P305,"Xong trễ"))</f>
        <v/>
      </c>
      <c r="I15" s="14" t="n"/>
      <c r="J15" s="14" t="n"/>
      <c r="K15" s="2" t="n"/>
      <c r="L15" s="2" t="n"/>
      <c r="M15" s="2" t="n"/>
      <c r="N15" s="2" t="n"/>
    </row>
    <row r="16">
      <c r="A16" s="2" t="n"/>
      <c r="B16" s="2">
        <f>IF(A16="","",COUNTIF(CONG_VIEC!D6:D305,A16))</f>
        <v/>
      </c>
      <c r="C16" s="2">
        <f>IF(A16="","",B16-COUNTIFS(CONG_VIEC!D6:D305,A16,CONG_VIEC!K6:K305,"Hoàn thành"))</f>
        <v/>
      </c>
      <c r="D16" s="2">
        <f>IF(A16="","",COUNTIFS(CONG_VIEC!D6:D305,A16,CONG_VIEC!P6:P305,"Quá hạn"))</f>
        <v/>
      </c>
      <c r="E16" s="2">
        <f>IF(A16="","",COUNTIFS(CONG_VIEC!D6:D305,A16,CONG_VIEC!P6:P305,"Sắp đến hạn")+COUNTIFS(CONG_VIEC!D6:D305,A16,CONG_VIEC!P6:P305,"Đến hạn hôm nay"))</f>
        <v/>
      </c>
      <c r="F16" s="2">
        <f>IF(A16="","",COUNTIFS(CONG_VIEC!D6:D305,A16,CONG_VIEC!K6:K305,"Hoàn thành"))</f>
        <v/>
      </c>
      <c r="G16" s="2">
        <f>IF(A16="","",COUNTIFS(CONG_VIEC!D6:D305,A16,CONG_VIEC!P6:P305,"Xong đúng hạn"))</f>
        <v/>
      </c>
      <c r="H16" s="2">
        <f>IF(A16="","",COUNTIFS(CONG_VIEC!D6:D305,A16,CONG_VIEC!P6:P305,"Xong trễ"))</f>
        <v/>
      </c>
      <c r="I16" s="14" t="n"/>
      <c r="J16" s="14" t="n"/>
      <c r="K16" s="2" t="n"/>
      <c r="L16" s="2" t="n"/>
      <c r="M16" s="2" t="n"/>
      <c r="N16" s="2" t="n"/>
    </row>
    <row r="17">
      <c r="A17" s="2" t="n"/>
      <c r="B17" s="2">
        <f>IF(A17="","",COUNTIF(CONG_VIEC!D6:D305,A17))</f>
        <v/>
      </c>
      <c r="C17" s="2">
        <f>IF(A17="","",B17-COUNTIFS(CONG_VIEC!D6:D305,A17,CONG_VIEC!K6:K305,"Hoàn thành"))</f>
        <v/>
      </c>
      <c r="D17" s="2">
        <f>IF(A17="","",COUNTIFS(CONG_VIEC!D6:D305,A17,CONG_VIEC!P6:P305,"Quá hạn"))</f>
        <v/>
      </c>
      <c r="E17" s="2">
        <f>IF(A17="","",COUNTIFS(CONG_VIEC!D6:D305,A17,CONG_VIEC!P6:P305,"Sắp đến hạn")+COUNTIFS(CONG_VIEC!D6:D305,A17,CONG_VIEC!P6:P305,"Đến hạn hôm nay"))</f>
        <v/>
      </c>
      <c r="F17" s="2">
        <f>IF(A17="","",COUNTIFS(CONG_VIEC!D6:D305,A17,CONG_VIEC!K6:K305,"Hoàn thành"))</f>
        <v/>
      </c>
      <c r="G17" s="2">
        <f>IF(A17="","",COUNTIFS(CONG_VIEC!D6:D305,A17,CONG_VIEC!P6:P305,"Xong đúng hạn"))</f>
        <v/>
      </c>
      <c r="H17" s="2">
        <f>IF(A17="","",COUNTIFS(CONG_VIEC!D6:D305,A17,CONG_VIEC!P6:P305,"Xong trễ"))</f>
        <v/>
      </c>
      <c r="I17" s="14" t="n"/>
      <c r="J17" s="14" t="n"/>
      <c r="K17" s="2" t="n"/>
      <c r="L17" s="2" t="n"/>
      <c r="M17" s="2" t="n"/>
      <c r="N17" s="2" t="n"/>
    </row>
    <row r="18">
      <c r="A18" s="2" t="n"/>
      <c r="B18" s="2">
        <f>IF(A18="","",COUNTIF(CONG_VIEC!D6:D305,A18))</f>
        <v/>
      </c>
      <c r="C18" s="2">
        <f>IF(A18="","",B18-COUNTIFS(CONG_VIEC!D6:D305,A18,CONG_VIEC!K6:K305,"Hoàn thành"))</f>
        <v/>
      </c>
      <c r="D18" s="2">
        <f>IF(A18="","",COUNTIFS(CONG_VIEC!D6:D305,A18,CONG_VIEC!P6:P305,"Quá hạn"))</f>
        <v/>
      </c>
      <c r="E18" s="2">
        <f>IF(A18="","",COUNTIFS(CONG_VIEC!D6:D305,A18,CONG_VIEC!P6:P305,"Sắp đến hạn")+COUNTIFS(CONG_VIEC!D6:D305,A18,CONG_VIEC!P6:P305,"Đến hạn hôm nay"))</f>
        <v/>
      </c>
      <c r="F18" s="2">
        <f>IF(A18="","",COUNTIFS(CONG_VIEC!D6:D305,A18,CONG_VIEC!K6:K305,"Hoàn thành"))</f>
        <v/>
      </c>
      <c r="G18" s="2">
        <f>IF(A18="","",COUNTIFS(CONG_VIEC!D6:D305,A18,CONG_VIEC!P6:P305,"Xong đúng hạn"))</f>
        <v/>
      </c>
      <c r="H18" s="2">
        <f>IF(A18="","",COUNTIFS(CONG_VIEC!D6:D305,A18,CONG_VIEC!P6:P305,"Xong trễ"))</f>
        <v/>
      </c>
      <c r="I18" s="14" t="n"/>
      <c r="J18" s="14" t="n"/>
      <c r="K18" s="2" t="n"/>
      <c r="L18" s="2" t="n"/>
      <c r="M18" s="2" t="n"/>
      <c r="N18" s="2" t="n"/>
    </row>
    <row r="19">
      <c r="A19" s="2" t="n"/>
      <c r="B19" s="2">
        <f>IF(A19="","",COUNTIF(CONG_VIEC!D6:D305,A19))</f>
        <v/>
      </c>
      <c r="C19" s="2">
        <f>IF(A19="","",B19-COUNTIFS(CONG_VIEC!D6:D305,A19,CONG_VIEC!K6:K305,"Hoàn thành"))</f>
        <v/>
      </c>
      <c r="D19" s="2">
        <f>IF(A19="","",COUNTIFS(CONG_VIEC!D6:D305,A19,CONG_VIEC!P6:P305,"Quá hạn"))</f>
        <v/>
      </c>
      <c r="E19" s="2">
        <f>IF(A19="","",COUNTIFS(CONG_VIEC!D6:D305,A19,CONG_VIEC!P6:P305,"Sắp đến hạn")+COUNTIFS(CONG_VIEC!D6:D305,A19,CONG_VIEC!P6:P305,"Đến hạn hôm nay"))</f>
        <v/>
      </c>
      <c r="F19" s="2">
        <f>IF(A19="","",COUNTIFS(CONG_VIEC!D6:D305,A19,CONG_VIEC!K6:K305,"Hoàn thành"))</f>
        <v/>
      </c>
      <c r="G19" s="2">
        <f>IF(A19="","",COUNTIFS(CONG_VIEC!D6:D305,A19,CONG_VIEC!P6:P305,"Xong đúng hạn"))</f>
        <v/>
      </c>
      <c r="H19" s="2">
        <f>IF(A19="","",COUNTIFS(CONG_VIEC!D6:D305,A19,CONG_VIEC!P6:P305,"Xong trễ"))</f>
        <v/>
      </c>
      <c r="I19" s="14" t="n"/>
      <c r="J19" s="14" t="n"/>
      <c r="K19" s="2" t="n"/>
      <c r="L19" s="2" t="n"/>
      <c r="M19" s="2" t="n"/>
      <c r="N19" s="2" t="n"/>
    </row>
    <row r="20">
      <c r="A20" s="2" t="n"/>
      <c r="B20" s="2">
        <f>IF(A20="","",COUNTIF(CONG_VIEC!D6:D305,A20))</f>
        <v/>
      </c>
      <c r="C20" s="2">
        <f>IF(A20="","",B20-COUNTIFS(CONG_VIEC!D6:D305,A20,CONG_VIEC!K6:K305,"Hoàn thành"))</f>
        <v/>
      </c>
      <c r="D20" s="2">
        <f>IF(A20="","",COUNTIFS(CONG_VIEC!D6:D305,A20,CONG_VIEC!P6:P305,"Quá hạn"))</f>
        <v/>
      </c>
      <c r="E20" s="2">
        <f>IF(A20="","",COUNTIFS(CONG_VIEC!D6:D305,A20,CONG_VIEC!P6:P305,"Sắp đến hạn")+COUNTIFS(CONG_VIEC!D6:D305,A20,CONG_VIEC!P6:P305,"Đến hạn hôm nay"))</f>
        <v/>
      </c>
      <c r="F20" s="2">
        <f>IF(A20="","",COUNTIFS(CONG_VIEC!D6:D305,A20,CONG_VIEC!K6:K305,"Hoàn thành"))</f>
        <v/>
      </c>
      <c r="G20" s="2">
        <f>IF(A20="","",COUNTIFS(CONG_VIEC!D6:D305,A20,CONG_VIEC!P6:P305,"Xong đúng hạn"))</f>
        <v/>
      </c>
      <c r="H20" s="2">
        <f>IF(A20="","",COUNTIFS(CONG_VIEC!D6:D305,A20,CONG_VIEC!P6:P305,"Xong trễ"))</f>
        <v/>
      </c>
      <c r="I20" s="14" t="n"/>
      <c r="J20" s="14" t="n"/>
      <c r="K20" s="2" t="n"/>
      <c r="L20" s="2" t="n"/>
      <c r="M20" s="2" t="n"/>
      <c r="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</row>
    <row r="22">
      <c r="A22" s="13" t="inlineStr">
        <is>
          <t>KPI CÁ NHÂN THEO NGƯỜI PHỤ TRÁCH</t>
        </is>
      </c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</row>
    <row r="23">
      <c r="A23" s="6" t="inlineStr">
        <is>
          <t>Người phụ trách</t>
        </is>
      </c>
      <c r="B23" s="6" t="inlineStr">
        <is>
          <t>Tổng việc</t>
        </is>
      </c>
      <c r="C23" s="6" t="inlineStr">
        <is>
          <t>Đang mở</t>
        </is>
      </c>
      <c r="D23" s="6" t="inlineStr">
        <is>
          <t>Quá hạn</t>
        </is>
      </c>
      <c r="E23" s="6" t="inlineStr">
        <is>
          <t>Đến hạn ≤3 ngày</t>
        </is>
      </c>
      <c r="F23" s="6" t="inlineStr">
        <is>
          <t>Hoàn thành</t>
        </is>
      </c>
      <c r="G23" s="6" t="inlineStr">
        <is>
          <t>Xong đúng hạn</t>
        </is>
      </c>
      <c r="H23" s="6" t="inlineStr">
        <is>
          <t>Xong trễ</t>
        </is>
      </c>
      <c r="I23" s="6" t="inlineStr">
        <is>
          <t>Tỷ lệ đúng hạn</t>
        </is>
      </c>
      <c r="J23" s="6" t="inlineStr">
        <is>
          <t>Tỷ lệ hoàn thành</t>
        </is>
      </c>
      <c r="K23" s="2" t="n"/>
      <c r="L23" s="2" t="n"/>
      <c r="M23" s="2" t="n"/>
      <c r="N23" s="2" t="n"/>
    </row>
    <row r="24">
      <c r="A24" s="2">
        <f>ARRAYFORMULA(IF(DANH_MUC!C5:C24="","",DANH_MUC!C5:C24))</f>
        <v/>
      </c>
      <c r="B24" s="2">
        <f>IF(A24="","",COUNTIF(CONG_VIEC!F6:F305,A24))</f>
        <v/>
      </c>
      <c r="C24" s="2">
        <f>IF(A24="","",B24-COUNTIFS(CONG_VIEC!F6:F305,A24,CONG_VIEC!K6:K305,"Hoàn thành"))</f>
        <v/>
      </c>
      <c r="D24" s="2">
        <f>IF(A24="","",COUNTIFS(CONG_VIEC!F6:F305,A24,CONG_VIEC!P6:P305,"Quá hạn"))</f>
        <v/>
      </c>
      <c r="E24" s="2">
        <f>IF(A24="","",COUNTIFS(CONG_VIEC!F6:F305,A24,CONG_VIEC!P6:P305,"Sắp đến hạn")+COUNTIFS(CONG_VIEC!F6:F305,A24,CONG_VIEC!P6:P305,"Đến hạn hôm nay"))</f>
        <v/>
      </c>
      <c r="F24" s="2">
        <f>IF(A24="","",COUNTIFS(CONG_VIEC!F6:F305,A24,CONG_VIEC!K6:K305,"Hoàn thành"))</f>
        <v/>
      </c>
      <c r="G24" s="2">
        <f>IF(A24="","",COUNTIFS(CONG_VIEC!F6:F305,A24,CONG_VIEC!P6:P305,"Xong đúng hạn"))</f>
        <v/>
      </c>
      <c r="H24" s="2">
        <f>IF(A24="","",COUNTIFS(CONG_VIEC!F6:F305,A24,CONG_VIEC!P6:P305,"Xong trễ"))</f>
        <v/>
      </c>
      <c r="I24" s="14">
        <f>ARRAYFORMULA(IF(A24:A43="","",IFERROR(G24:G43/(G24:G43+H24:H43),"-")))</f>
        <v/>
      </c>
      <c r="J24" s="14">
        <f>ARRAYFORMULA(IF(A24:A43="","",IFERROR(F24:F43/B24:B43,"-")))</f>
        <v/>
      </c>
      <c r="K24" s="2" t="n"/>
      <c r="L24" s="2" t="n"/>
      <c r="M24" s="2" t="n"/>
      <c r="N24" s="2" t="n"/>
    </row>
    <row r="25">
      <c r="A25" s="2" t="n"/>
      <c r="B25" s="2">
        <f>IF(A25="","",COUNTIF(CONG_VIEC!F6:F305,A25))</f>
        <v/>
      </c>
      <c r="C25" s="2">
        <f>IF(A25="","",B25-COUNTIFS(CONG_VIEC!F6:F305,A25,CONG_VIEC!K6:K305,"Hoàn thành"))</f>
        <v/>
      </c>
      <c r="D25" s="2">
        <f>IF(A25="","",COUNTIFS(CONG_VIEC!F6:F305,A25,CONG_VIEC!P6:P305,"Quá hạn"))</f>
        <v/>
      </c>
      <c r="E25" s="2">
        <f>IF(A25="","",COUNTIFS(CONG_VIEC!F6:F305,A25,CONG_VIEC!P6:P305,"Sắp đến hạn")+COUNTIFS(CONG_VIEC!F6:F305,A25,CONG_VIEC!P6:P305,"Đến hạn hôm nay"))</f>
        <v/>
      </c>
      <c r="F25" s="2">
        <f>IF(A25="","",COUNTIFS(CONG_VIEC!F6:F305,A25,CONG_VIEC!K6:K305,"Hoàn thành"))</f>
        <v/>
      </c>
      <c r="G25" s="2">
        <f>IF(A25="","",COUNTIFS(CONG_VIEC!F6:F305,A25,CONG_VIEC!P6:P305,"Xong đúng hạn"))</f>
        <v/>
      </c>
      <c r="H25" s="2">
        <f>IF(A25="","",COUNTIFS(CONG_VIEC!F6:F305,A25,CONG_VIEC!P6:P305,"Xong trễ"))</f>
        <v/>
      </c>
      <c r="I25" s="14" t="n"/>
      <c r="J25" s="14" t="n"/>
      <c r="K25" s="2" t="n"/>
      <c r="L25" s="2" t="n"/>
      <c r="M25" s="2" t="n"/>
      <c r="N25" s="2" t="n"/>
    </row>
    <row r="26">
      <c r="A26" s="2" t="n"/>
      <c r="B26" s="2">
        <f>IF(A26="","",COUNTIF(CONG_VIEC!F6:F305,A26))</f>
        <v/>
      </c>
      <c r="C26" s="2">
        <f>IF(A26="","",B26-COUNTIFS(CONG_VIEC!F6:F305,A26,CONG_VIEC!K6:K305,"Hoàn thành"))</f>
        <v/>
      </c>
      <c r="D26" s="2">
        <f>IF(A26="","",COUNTIFS(CONG_VIEC!F6:F305,A26,CONG_VIEC!P6:P305,"Quá hạn"))</f>
        <v/>
      </c>
      <c r="E26" s="2">
        <f>IF(A26="","",COUNTIFS(CONG_VIEC!F6:F305,A26,CONG_VIEC!P6:P305,"Sắp đến hạn")+COUNTIFS(CONG_VIEC!F6:F305,A26,CONG_VIEC!P6:P305,"Đến hạn hôm nay"))</f>
        <v/>
      </c>
      <c r="F26" s="2">
        <f>IF(A26="","",COUNTIFS(CONG_VIEC!F6:F305,A26,CONG_VIEC!K6:K305,"Hoàn thành"))</f>
        <v/>
      </c>
      <c r="G26" s="2">
        <f>IF(A26="","",COUNTIFS(CONG_VIEC!F6:F305,A26,CONG_VIEC!P6:P305,"Xong đúng hạn"))</f>
        <v/>
      </c>
      <c r="H26" s="2">
        <f>IF(A26="","",COUNTIFS(CONG_VIEC!F6:F305,A26,CONG_VIEC!P6:P305,"Xong trễ"))</f>
        <v/>
      </c>
      <c r="I26" s="14" t="n"/>
      <c r="J26" s="14" t="n"/>
      <c r="K26" s="2" t="n"/>
      <c r="L26" s="2" t="n"/>
      <c r="M26" s="2" t="n"/>
      <c r="N26" s="2" t="n"/>
    </row>
    <row r="27">
      <c r="A27" s="2" t="n"/>
      <c r="B27" s="2">
        <f>IF(A27="","",COUNTIF(CONG_VIEC!F6:F305,A27))</f>
        <v/>
      </c>
      <c r="C27" s="2">
        <f>IF(A27="","",B27-COUNTIFS(CONG_VIEC!F6:F305,A27,CONG_VIEC!K6:K305,"Hoàn thành"))</f>
        <v/>
      </c>
      <c r="D27" s="2">
        <f>IF(A27="","",COUNTIFS(CONG_VIEC!F6:F305,A27,CONG_VIEC!P6:P305,"Quá hạn"))</f>
        <v/>
      </c>
      <c r="E27" s="2">
        <f>IF(A27="","",COUNTIFS(CONG_VIEC!F6:F305,A27,CONG_VIEC!P6:P305,"Sắp đến hạn")+COUNTIFS(CONG_VIEC!F6:F305,A27,CONG_VIEC!P6:P305,"Đến hạn hôm nay"))</f>
        <v/>
      </c>
      <c r="F27" s="2">
        <f>IF(A27="","",COUNTIFS(CONG_VIEC!F6:F305,A27,CONG_VIEC!K6:K305,"Hoàn thành"))</f>
        <v/>
      </c>
      <c r="G27" s="2">
        <f>IF(A27="","",COUNTIFS(CONG_VIEC!F6:F305,A27,CONG_VIEC!P6:P305,"Xong đúng hạn"))</f>
        <v/>
      </c>
      <c r="H27" s="2">
        <f>IF(A27="","",COUNTIFS(CONG_VIEC!F6:F305,A27,CONG_VIEC!P6:P305,"Xong trễ"))</f>
        <v/>
      </c>
      <c r="I27" s="14" t="n"/>
      <c r="J27" s="14" t="n"/>
      <c r="K27" s="2" t="n"/>
      <c r="L27" s="2" t="n"/>
      <c r="M27" s="2" t="n"/>
      <c r="N27" s="2" t="n"/>
    </row>
    <row r="28">
      <c r="A28" s="2" t="n"/>
      <c r="B28" s="2">
        <f>IF(A28="","",COUNTIF(CONG_VIEC!F6:F305,A28))</f>
        <v/>
      </c>
      <c r="C28" s="2">
        <f>IF(A28="","",B28-COUNTIFS(CONG_VIEC!F6:F305,A28,CONG_VIEC!K6:K305,"Hoàn thành"))</f>
        <v/>
      </c>
      <c r="D28" s="2">
        <f>IF(A28="","",COUNTIFS(CONG_VIEC!F6:F305,A28,CONG_VIEC!P6:P305,"Quá hạn"))</f>
        <v/>
      </c>
      <c r="E28" s="2">
        <f>IF(A28="","",COUNTIFS(CONG_VIEC!F6:F305,A28,CONG_VIEC!P6:P305,"Sắp đến hạn")+COUNTIFS(CONG_VIEC!F6:F305,A28,CONG_VIEC!P6:P305,"Đến hạn hôm nay"))</f>
        <v/>
      </c>
      <c r="F28" s="2">
        <f>IF(A28="","",COUNTIFS(CONG_VIEC!F6:F305,A28,CONG_VIEC!K6:K305,"Hoàn thành"))</f>
        <v/>
      </c>
      <c r="G28" s="2">
        <f>IF(A28="","",COUNTIFS(CONG_VIEC!F6:F305,A28,CONG_VIEC!P6:P305,"Xong đúng hạn"))</f>
        <v/>
      </c>
      <c r="H28" s="2">
        <f>IF(A28="","",COUNTIFS(CONG_VIEC!F6:F305,A28,CONG_VIEC!P6:P305,"Xong trễ"))</f>
        <v/>
      </c>
      <c r="I28" s="14" t="n"/>
      <c r="J28" s="14" t="n"/>
      <c r="K28" s="2" t="n"/>
      <c r="L28" s="2" t="n"/>
      <c r="M28" s="2" t="n"/>
      <c r="N28" s="2" t="n"/>
    </row>
    <row r="29">
      <c r="A29" s="2" t="n"/>
      <c r="B29" s="2">
        <f>IF(A29="","",COUNTIF(CONG_VIEC!F6:F305,A29))</f>
        <v/>
      </c>
      <c r="C29" s="2">
        <f>IF(A29="","",B29-COUNTIFS(CONG_VIEC!F6:F305,A29,CONG_VIEC!K6:K305,"Hoàn thành"))</f>
        <v/>
      </c>
      <c r="D29" s="2">
        <f>IF(A29="","",COUNTIFS(CONG_VIEC!F6:F305,A29,CONG_VIEC!P6:P305,"Quá hạn"))</f>
        <v/>
      </c>
      <c r="E29" s="2">
        <f>IF(A29="","",COUNTIFS(CONG_VIEC!F6:F305,A29,CONG_VIEC!P6:P305,"Sắp đến hạn")+COUNTIFS(CONG_VIEC!F6:F305,A29,CONG_VIEC!P6:P305,"Đến hạn hôm nay"))</f>
        <v/>
      </c>
      <c r="F29" s="2">
        <f>IF(A29="","",COUNTIFS(CONG_VIEC!F6:F305,A29,CONG_VIEC!K6:K305,"Hoàn thành"))</f>
        <v/>
      </c>
      <c r="G29" s="2">
        <f>IF(A29="","",COUNTIFS(CONG_VIEC!F6:F305,A29,CONG_VIEC!P6:P305,"Xong đúng hạn"))</f>
        <v/>
      </c>
      <c r="H29" s="2">
        <f>IF(A29="","",COUNTIFS(CONG_VIEC!F6:F305,A29,CONG_VIEC!P6:P305,"Xong trễ"))</f>
        <v/>
      </c>
      <c r="I29" s="14" t="n"/>
      <c r="J29" s="14" t="n"/>
      <c r="K29" s="2" t="n"/>
      <c r="L29" s="2" t="n"/>
      <c r="M29" s="2" t="n"/>
      <c r="N29" s="2" t="n"/>
    </row>
    <row r="30">
      <c r="A30" s="2" t="n"/>
      <c r="B30" s="2">
        <f>IF(A30="","",COUNTIF(CONG_VIEC!F6:F305,A30))</f>
        <v/>
      </c>
      <c r="C30" s="2">
        <f>IF(A30="","",B30-COUNTIFS(CONG_VIEC!F6:F305,A30,CONG_VIEC!K6:K305,"Hoàn thành"))</f>
        <v/>
      </c>
      <c r="D30" s="2">
        <f>IF(A30="","",COUNTIFS(CONG_VIEC!F6:F305,A30,CONG_VIEC!P6:P305,"Quá hạn"))</f>
        <v/>
      </c>
      <c r="E30" s="2">
        <f>IF(A30="","",COUNTIFS(CONG_VIEC!F6:F305,A30,CONG_VIEC!P6:P305,"Sắp đến hạn")+COUNTIFS(CONG_VIEC!F6:F305,A30,CONG_VIEC!P6:P305,"Đến hạn hôm nay"))</f>
        <v/>
      </c>
      <c r="F30" s="2">
        <f>IF(A30="","",COUNTIFS(CONG_VIEC!F6:F305,A30,CONG_VIEC!K6:K305,"Hoàn thành"))</f>
        <v/>
      </c>
      <c r="G30" s="2">
        <f>IF(A30="","",COUNTIFS(CONG_VIEC!F6:F305,A30,CONG_VIEC!P6:P305,"Xong đúng hạn"))</f>
        <v/>
      </c>
      <c r="H30" s="2">
        <f>IF(A30="","",COUNTIFS(CONG_VIEC!F6:F305,A30,CONG_VIEC!P6:P305,"Xong trễ"))</f>
        <v/>
      </c>
      <c r="I30" s="14" t="n"/>
      <c r="J30" s="14" t="n"/>
      <c r="K30" s="2" t="n"/>
      <c r="L30" s="2" t="n"/>
      <c r="M30" s="2" t="n"/>
      <c r="N30" s="2" t="n"/>
    </row>
    <row r="31">
      <c r="A31" s="2" t="n"/>
      <c r="B31" s="2">
        <f>IF(A31="","",COUNTIF(CONG_VIEC!F6:F305,A31))</f>
        <v/>
      </c>
      <c r="C31" s="2">
        <f>IF(A31="","",B31-COUNTIFS(CONG_VIEC!F6:F305,A31,CONG_VIEC!K6:K305,"Hoàn thành"))</f>
        <v/>
      </c>
      <c r="D31" s="2">
        <f>IF(A31="","",COUNTIFS(CONG_VIEC!F6:F305,A31,CONG_VIEC!P6:P305,"Quá hạn"))</f>
        <v/>
      </c>
      <c r="E31" s="2">
        <f>IF(A31="","",COUNTIFS(CONG_VIEC!F6:F305,A31,CONG_VIEC!P6:P305,"Sắp đến hạn")+COUNTIFS(CONG_VIEC!F6:F305,A31,CONG_VIEC!P6:P305,"Đến hạn hôm nay"))</f>
        <v/>
      </c>
      <c r="F31" s="2">
        <f>IF(A31="","",COUNTIFS(CONG_VIEC!F6:F305,A31,CONG_VIEC!K6:K305,"Hoàn thành"))</f>
        <v/>
      </c>
      <c r="G31" s="2">
        <f>IF(A31="","",COUNTIFS(CONG_VIEC!F6:F305,A31,CONG_VIEC!P6:P305,"Xong đúng hạn"))</f>
        <v/>
      </c>
      <c r="H31" s="2">
        <f>IF(A31="","",COUNTIFS(CONG_VIEC!F6:F305,A31,CONG_VIEC!P6:P305,"Xong trễ"))</f>
        <v/>
      </c>
      <c r="I31" s="14" t="n"/>
      <c r="J31" s="14" t="n"/>
      <c r="K31" s="2" t="n"/>
      <c r="L31" s="2" t="n"/>
      <c r="M31" s="2" t="n"/>
      <c r="N31" s="2" t="n"/>
    </row>
    <row r="32">
      <c r="A32" s="2" t="n"/>
      <c r="B32" s="2">
        <f>IF(A32="","",COUNTIF(CONG_VIEC!F6:F305,A32))</f>
        <v/>
      </c>
      <c r="C32" s="2">
        <f>IF(A32="","",B32-COUNTIFS(CONG_VIEC!F6:F305,A32,CONG_VIEC!K6:K305,"Hoàn thành"))</f>
        <v/>
      </c>
      <c r="D32" s="2">
        <f>IF(A32="","",COUNTIFS(CONG_VIEC!F6:F305,A32,CONG_VIEC!P6:P305,"Quá hạn"))</f>
        <v/>
      </c>
      <c r="E32" s="2">
        <f>IF(A32="","",COUNTIFS(CONG_VIEC!F6:F305,A32,CONG_VIEC!P6:P305,"Sắp đến hạn")+COUNTIFS(CONG_VIEC!F6:F305,A32,CONG_VIEC!P6:P305,"Đến hạn hôm nay"))</f>
        <v/>
      </c>
      <c r="F32" s="2">
        <f>IF(A32="","",COUNTIFS(CONG_VIEC!F6:F305,A32,CONG_VIEC!K6:K305,"Hoàn thành"))</f>
        <v/>
      </c>
      <c r="G32" s="2">
        <f>IF(A32="","",COUNTIFS(CONG_VIEC!F6:F305,A32,CONG_VIEC!P6:P305,"Xong đúng hạn"))</f>
        <v/>
      </c>
      <c r="H32" s="2">
        <f>IF(A32="","",COUNTIFS(CONG_VIEC!F6:F305,A32,CONG_VIEC!P6:P305,"Xong trễ"))</f>
        <v/>
      </c>
      <c r="I32" s="14" t="n"/>
      <c r="J32" s="14" t="n"/>
      <c r="K32" s="2" t="n"/>
      <c r="L32" s="2" t="n"/>
      <c r="M32" s="2" t="n"/>
      <c r="N32" s="2" t="n"/>
    </row>
    <row r="33">
      <c r="A33" s="2" t="n"/>
      <c r="B33" s="2">
        <f>IF(A33="","",COUNTIF(CONG_VIEC!F6:F305,A33))</f>
        <v/>
      </c>
      <c r="C33" s="2">
        <f>IF(A33="","",B33-COUNTIFS(CONG_VIEC!F6:F305,A33,CONG_VIEC!K6:K305,"Hoàn thành"))</f>
        <v/>
      </c>
      <c r="D33" s="2">
        <f>IF(A33="","",COUNTIFS(CONG_VIEC!F6:F305,A33,CONG_VIEC!P6:P305,"Quá hạn"))</f>
        <v/>
      </c>
      <c r="E33" s="2">
        <f>IF(A33="","",COUNTIFS(CONG_VIEC!F6:F305,A33,CONG_VIEC!P6:P305,"Sắp đến hạn")+COUNTIFS(CONG_VIEC!F6:F305,A33,CONG_VIEC!P6:P305,"Đến hạn hôm nay"))</f>
        <v/>
      </c>
      <c r="F33" s="2">
        <f>IF(A33="","",COUNTIFS(CONG_VIEC!F6:F305,A33,CONG_VIEC!K6:K305,"Hoàn thành"))</f>
        <v/>
      </c>
      <c r="G33" s="2">
        <f>IF(A33="","",COUNTIFS(CONG_VIEC!F6:F305,A33,CONG_VIEC!P6:P305,"Xong đúng hạn"))</f>
        <v/>
      </c>
      <c r="H33" s="2">
        <f>IF(A33="","",COUNTIFS(CONG_VIEC!F6:F305,A33,CONG_VIEC!P6:P305,"Xong trễ"))</f>
        <v/>
      </c>
      <c r="I33" s="14" t="n"/>
      <c r="J33" s="14" t="n"/>
      <c r="K33" s="2" t="n"/>
      <c r="L33" s="2" t="n"/>
      <c r="M33" s="2" t="n"/>
      <c r="N33" s="2" t="n"/>
    </row>
    <row r="34">
      <c r="A34" s="2" t="n"/>
      <c r="B34" s="2">
        <f>IF(A34="","",COUNTIF(CONG_VIEC!F6:F305,A34))</f>
        <v/>
      </c>
      <c r="C34" s="2">
        <f>IF(A34="","",B34-COUNTIFS(CONG_VIEC!F6:F305,A34,CONG_VIEC!K6:K305,"Hoàn thành"))</f>
        <v/>
      </c>
      <c r="D34" s="2">
        <f>IF(A34="","",COUNTIFS(CONG_VIEC!F6:F305,A34,CONG_VIEC!P6:P305,"Quá hạn"))</f>
        <v/>
      </c>
      <c r="E34" s="2">
        <f>IF(A34="","",COUNTIFS(CONG_VIEC!F6:F305,A34,CONG_VIEC!P6:P305,"Sắp đến hạn")+COUNTIFS(CONG_VIEC!F6:F305,A34,CONG_VIEC!P6:P305,"Đến hạn hôm nay"))</f>
        <v/>
      </c>
      <c r="F34" s="2">
        <f>IF(A34="","",COUNTIFS(CONG_VIEC!F6:F305,A34,CONG_VIEC!K6:K305,"Hoàn thành"))</f>
        <v/>
      </c>
      <c r="G34" s="2">
        <f>IF(A34="","",COUNTIFS(CONG_VIEC!F6:F305,A34,CONG_VIEC!P6:P305,"Xong đúng hạn"))</f>
        <v/>
      </c>
      <c r="H34" s="2">
        <f>IF(A34="","",COUNTIFS(CONG_VIEC!F6:F305,A34,CONG_VIEC!P6:P305,"Xong trễ"))</f>
        <v/>
      </c>
      <c r="I34" s="14" t="n"/>
      <c r="J34" s="14" t="n"/>
      <c r="K34" s="2" t="n"/>
      <c r="L34" s="2" t="n"/>
      <c r="M34" s="2" t="n"/>
      <c r="N34" s="2" t="n"/>
    </row>
    <row r="35">
      <c r="A35" s="2" t="n"/>
      <c r="B35" s="2">
        <f>IF(A35="","",COUNTIF(CONG_VIEC!F6:F305,A35))</f>
        <v/>
      </c>
      <c r="C35" s="2">
        <f>IF(A35="","",B35-COUNTIFS(CONG_VIEC!F6:F305,A35,CONG_VIEC!K6:K305,"Hoàn thành"))</f>
        <v/>
      </c>
      <c r="D35" s="2">
        <f>IF(A35="","",COUNTIFS(CONG_VIEC!F6:F305,A35,CONG_VIEC!P6:P305,"Quá hạn"))</f>
        <v/>
      </c>
      <c r="E35" s="2">
        <f>IF(A35="","",COUNTIFS(CONG_VIEC!F6:F305,A35,CONG_VIEC!P6:P305,"Sắp đến hạn")+COUNTIFS(CONG_VIEC!F6:F305,A35,CONG_VIEC!P6:P305,"Đến hạn hôm nay"))</f>
        <v/>
      </c>
      <c r="F35" s="2">
        <f>IF(A35="","",COUNTIFS(CONG_VIEC!F6:F305,A35,CONG_VIEC!K6:K305,"Hoàn thành"))</f>
        <v/>
      </c>
      <c r="G35" s="2">
        <f>IF(A35="","",COUNTIFS(CONG_VIEC!F6:F305,A35,CONG_VIEC!P6:P305,"Xong đúng hạn"))</f>
        <v/>
      </c>
      <c r="H35" s="2">
        <f>IF(A35="","",COUNTIFS(CONG_VIEC!F6:F305,A35,CONG_VIEC!P6:P305,"Xong trễ"))</f>
        <v/>
      </c>
      <c r="I35" s="14" t="n"/>
      <c r="J35" s="14" t="n"/>
      <c r="K35" s="2" t="n"/>
      <c r="L35" s="2" t="n"/>
      <c r="M35" s="2" t="n"/>
      <c r="N35" s="2" t="n"/>
    </row>
    <row r="36">
      <c r="A36" s="2" t="n"/>
      <c r="B36" s="2">
        <f>IF(A36="","",COUNTIF(CONG_VIEC!F6:F305,A36))</f>
        <v/>
      </c>
      <c r="C36" s="2">
        <f>IF(A36="","",B36-COUNTIFS(CONG_VIEC!F6:F305,A36,CONG_VIEC!K6:K305,"Hoàn thành"))</f>
        <v/>
      </c>
      <c r="D36" s="2">
        <f>IF(A36="","",COUNTIFS(CONG_VIEC!F6:F305,A36,CONG_VIEC!P6:P305,"Quá hạn"))</f>
        <v/>
      </c>
      <c r="E36" s="2">
        <f>IF(A36="","",COUNTIFS(CONG_VIEC!F6:F305,A36,CONG_VIEC!P6:P305,"Sắp đến hạn")+COUNTIFS(CONG_VIEC!F6:F305,A36,CONG_VIEC!P6:P305,"Đến hạn hôm nay"))</f>
        <v/>
      </c>
      <c r="F36" s="2">
        <f>IF(A36="","",COUNTIFS(CONG_VIEC!F6:F305,A36,CONG_VIEC!K6:K305,"Hoàn thành"))</f>
        <v/>
      </c>
      <c r="G36" s="2">
        <f>IF(A36="","",COUNTIFS(CONG_VIEC!F6:F305,A36,CONG_VIEC!P6:P305,"Xong đúng hạn"))</f>
        <v/>
      </c>
      <c r="H36" s="2">
        <f>IF(A36="","",COUNTIFS(CONG_VIEC!F6:F305,A36,CONG_VIEC!P6:P305,"Xong trễ"))</f>
        <v/>
      </c>
      <c r="I36" s="14" t="n"/>
      <c r="J36" s="14" t="n"/>
      <c r="K36" s="2" t="n"/>
      <c r="L36" s="2" t="n"/>
      <c r="M36" s="2" t="n"/>
      <c r="N36" s="2" t="n"/>
    </row>
    <row r="37">
      <c r="A37" s="2" t="n"/>
      <c r="B37" s="2">
        <f>IF(A37="","",COUNTIF(CONG_VIEC!F6:F305,A37))</f>
        <v/>
      </c>
      <c r="C37" s="2">
        <f>IF(A37="","",B37-COUNTIFS(CONG_VIEC!F6:F305,A37,CONG_VIEC!K6:K305,"Hoàn thành"))</f>
        <v/>
      </c>
      <c r="D37" s="2">
        <f>IF(A37="","",COUNTIFS(CONG_VIEC!F6:F305,A37,CONG_VIEC!P6:P305,"Quá hạn"))</f>
        <v/>
      </c>
      <c r="E37" s="2">
        <f>IF(A37="","",COUNTIFS(CONG_VIEC!F6:F305,A37,CONG_VIEC!P6:P305,"Sắp đến hạn")+COUNTIFS(CONG_VIEC!F6:F305,A37,CONG_VIEC!P6:P305,"Đến hạn hôm nay"))</f>
        <v/>
      </c>
      <c r="F37" s="2">
        <f>IF(A37="","",COUNTIFS(CONG_VIEC!F6:F305,A37,CONG_VIEC!K6:K305,"Hoàn thành"))</f>
        <v/>
      </c>
      <c r="G37" s="2">
        <f>IF(A37="","",COUNTIFS(CONG_VIEC!F6:F305,A37,CONG_VIEC!P6:P305,"Xong đúng hạn"))</f>
        <v/>
      </c>
      <c r="H37" s="2">
        <f>IF(A37="","",COUNTIFS(CONG_VIEC!F6:F305,A37,CONG_VIEC!P6:P305,"Xong trễ"))</f>
        <v/>
      </c>
      <c r="I37" s="14" t="n"/>
      <c r="J37" s="14" t="n"/>
      <c r="K37" s="2" t="n"/>
      <c r="L37" s="2" t="n"/>
      <c r="M37" s="2" t="n"/>
      <c r="N37" s="2" t="n"/>
    </row>
    <row r="38">
      <c r="A38" s="2" t="n"/>
      <c r="B38" s="2">
        <f>IF(A38="","",COUNTIF(CONG_VIEC!F6:F305,A38))</f>
        <v/>
      </c>
      <c r="C38" s="2">
        <f>IF(A38="","",B38-COUNTIFS(CONG_VIEC!F6:F305,A38,CONG_VIEC!K6:K305,"Hoàn thành"))</f>
        <v/>
      </c>
      <c r="D38" s="2">
        <f>IF(A38="","",COUNTIFS(CONG_VIEC!F6:F305,A38,CONG_VIEC!P6:P305,"Quá hạn"))</f>
        <v/>
      </c>
      <c r="E38" s="2">
        <f>IF(A38="","",COUNTIFS(CONG_VIEC!F6:F305,A38,CONG_VIEC!P6:P305,"Sắp đến hạn")+COUNTIFS(CONG_VIEC!F6:F305,A38,CONG_VIEC!P6:P305,"Đến hạn hôm nay"))</f>
        <v/>
      </c>
      <c r="F38" s="2">
        <f>IF(A38="","",COUNTIFS(CONG_VIEC!F6:F305,A38,CONG_VIEC!K6:K305,"Hoàn thành"))</f>
        <v/>
      </c>
      <c r="G38" s="2">
        <f>IF(A38="","",COUNTIFS(CONG_VIEC!F6:F305,A38,CONG_VIEC!P6:P305,"Xong đúng hạn"))</f>
        <v/>
      </c>
      <c r="H38" s="2">
        <f>IF(A38="","",COUNTIFS(CONG_VIEC!F6:F305,A38,CONG_VIEC!P6:P305,"Xong trễ"))</f>
        <v/>
      </c>
      <c r="I38" s="14" t="n"/>
      <c r="J38" s="14" t="n"/>
      <c r="K38" s="2" t="n"/>
      <c r="L38" s="2" t="n"/>
      <c r="M38" s="2" t="n"/>
      <c r="N38" s="2" t="n"/>
    </row>
    <row r="39">
      <c r="A39" s="2" t="n"/>
      <c r="B39" s="2">
        <f>IF(A39="","",COUNTIF(CONG_VIEC!F6:F305,A39))</f>
        <v/>
      </c>
      <c r="C39" s="2">
        <f>IF(A39="","",B39-COUNTIFS(CONG_VIEC!F6:F305,A39,CONG_VIEC!K6:K305,"Hoàn thành"))</f>
        <v/>
      </c>
      <c r="D39" s="2">
        <f>IF(A39="","",COUNTIFS(CONG_VIEC!F6:F305,A39,CONG_VIEC!P6:P305,"Quá hạn"))</f>
        <v/>
      </c>
      <c r="E39" s="2">
        <f>IF(A39="","",COUNTIFS(CONG_VIEC!F6:F305,A39,CONG_VIEC!P6:P305,"Sắp đến hạn")+COUNTIFS(CONG_VIEC!F6:F305,A39,CONG_VIEC!P6:P305,"Đến hạn hôm nay"))</f>
        <v/>
      </c>
      <c r="F39" s="2">
        <f>IF(A39="","",COUNTIFS(CONG_VIEC!F6:F305,A39,CONG_VIEC!K6:K305,"Hoàn thành"))</f>
        <v/>
      </c>
      <c r="G39" s="2">
        <f>IF(A39="","",COUNTIFS(CONG_VIEC!F6:F305,A39,CONG_VIEC!P6:P305,"Xong đúng hạn"))</f>
        <v/>
      </c>
      <c r="H39" s="2">
        <f>IF(A39="","",COUNTIFS(CONG_VIEC!F6:F305,A39,CONG_VIEC!P6:P305,"Xong trễ"))</f>
        <v/>
      </c>
      <c r="I39" s="14" t="n"/>
      <c r="J39" s="14" t="n"/>
      <c r="K39" s="2" t="n"/>
      <c r="L39" s="2" t="n"/>
      <c r="M39" s="2" t="n"/>
      <c r="N39" s="2" t="n"/>
    </row>
    <row r="40">
      <c r="A40" s="2" t="n"/>
      <c r="B40" s="2">
        <f>IF(A40="","",COUNTIF(CONG_VIEC!F6:F305,A40))</f>
        <v/>
      </c>
      <c r="C40" s="2">
        <f>IF(A40="","",B40-COUNTIFS(CONG_VIEC!F6:F305,A40,CONG_VIEC!K6:K305,"Hoàn thành"))</f>
        <v/>
      </c>
      <c r="D40" s="2">
        <f>IF(A40="","",COUNTIFS(CONG_VIEC!F6:F305,A40,CONG_VIEC!P6:P305,"Quá hạn"))</f>
        <v/>
      </c>
      <c r="E40" s="2">
        <f>IF(A40="","",COUNTIFS(CONG_VIEC!F6:F305,A40,CONG_VIEC!P6:P305,"Sắp đến hạn")+COUNTIFS(CONG_VIEC!F6:F305,A40,CONG_VIEC!P6:P305,"Đến hạn hôm nay"))</f>
        <v/>
      </c>
      <c r="F40" s="2">
        <f>IF(A40="","",COUNTIFS(CONG_VIEC!F6:F305,A40,CONG_VIEC!K6:K305,"Hoàn thành"))</f>
        <v/>
      </c>
      <c r="G40" s="2">
        <f>IF(A40="","",COUNTIFS(CONG_VIEC!F6:F305,A40,CONG_VIEC!P6:P305,"Xong đúng hạn"))</f>
        <v/>
      </c>
      <c r="H40" s="2">
        <f>IF(A40="","",COUNTIFS(CONG_VIEC!F6:F305,A40,CONG_VIEC!P6:P305,"Xong trễ"))</f>
        <v/>
      </c>
      <c r="I40" s="14" t="n"/>
      <c r="J40" s="14" t="n"/>
      <c r="K40" s="2" t="n"/>
      <c r="L40" s="2" t="n"/>
      <c r="M40" s="2" t="n"/>
      <c r="N40" s="2" t="n"/>
    </row>
    <row r="41">
      <c r="A41" s="2" t="n"/>
      <c r="B41" s="2">
        <f>IF(A41="","",COUNTIF(CONG_VIEC!F6:F305,A41))</f>
        <v/>
      </c>
      <c r="C41" s="2">
        <f>IF(A41="","",B41-COUNTIFS(CONG_VIEC!F6:F305,A41,CONG_VIEC!K6:K305,"Hoàn thành"))</f>
        <v/>
      </c>
      <c r="D41" s="2">
        <f>IF(A41="","",COUNTIFS(CONG_VIEC!F6:F305,A41,CONG_VIEC!P6:P305,"Quá hạn"))</f>
        <v/>
      </c>
      <c r="E41" s="2">
        <f>IF(A41="","",COUNTIFS(CONG_VIEC!F6:F305,A41,CONG_VIEC!P6:P305,"Sắp đến hạn")+COUNTIFS(CONG_VIEC!F6:F305,A41,CONG_VIEC!P6:P305,"Đến hạn hôm nay"))</f>
        <v/>
      </c>
      <c r="F41" s="2">
        <f>IF(A41="","",COUNTIFS(CONG_VIEC!F6:F305,A41,CONG_VIEC!K6:K305,"Hoàn thành"))</f>
        <v/>
      </c>
      <c r="G41" s="2">
        <f>IF(A41="","",COUNTIFS(CONG_VIEC!F6:F305,A41,CONG_VIEC!P6:P305,"Xong đúng hạn"))</f>
        <v/>
      </c>
      <c r="H41" s="2">
        <f>IF(A41="","",COUNTIFS(CONG_VIEC!F6:F305,A41,CONG_VIEC!P6:P305,"Xong trễ"))</f>
        <v/>
      </c>
      <c r="I41" s="14" t="n"/>
      <c r="J41" s="14" t="n"/>
      <c r="K41" s="2" t="n"/>
      <c r="L41" s="2" t="n"/>
      <c r="M41" s="2" t="n"/>
      <c r="N41" s="2" t="n"/>
    </row>
    <row r="42">
      <c r="A42" s="2" t="n"/>
      <c r="B42" s="2">
        <f>IF(A42="","",COUNTIF(CONG_VIEC!F6:F305,A42))</f>
        <v/>
      </c>
      <c r="C42" s="2">
        <f>IF(A42="","",B42-COUNTIFS(CONG_VIEC!F6:F305,A42,CONG_VIEC!K6:K305,"Hoàn thành"))</f>
        <v/>
      </c>
      <c r="D42" s="2">
        <f>IF(A42="","",COUNTIFS(CONG_VIEC!F6:F305,A42,CONG_VIEC!P6:P305,"Quá hạn"))</f>
        <v/>
      </c>
      <c r="E42" s="2">
        <f>IF(A42="","",COUNTIFS(CONG_VIEC!F6:F305,A42,CONG_VIEC!P6:P305,"Sắp đến hạn")+COUNTIFS(CONG_VIEC!F6:F305,A42,CONG_VIEC!P6:P305,"Đến hạn hôm nay"))</f>
        <v/>
      </c>
      <c r="F42" s="2">
        <f>IF(A42="","",COUNTIFS(CONG_VIEC!F6:F305,A42,CONG_VIEC!K6:K305,"Hoàn thành"))</f>
        <v/>
      </c>
      <c r="G42" s="2">
        <f>IF(A42="","",COUNTIFS(CONG_VIEC!F6:F305,A42,CONG_VIEC!P6:P305,"Xong đúng hạn"))</f>
        <v/>
      </c>
      <c r="H42" s="2">
        <f>IF(A42="","",COUNTIFS(CONG_VIEC!F6:F305,A42,CONG_VIEC!P6:P305,"Xong trễ"))</f>
        <v/>
      </c>
      <c r="I42" s="14" t="n"/>
      <c r="J42" s="14" t="n"/>
      <c r="K42" s="2" t="n"/>
      <c r="L42" s="2" t="n"/>
      <c r="M42" s="2" t="n"/>
      <c r="N42" s="2" t="n"/>
    </row>
    <row r="43">
      <c r="A43" s="2" t="n"/>
      <c r="B43" s="2">
        <f>IF(A43="","",COUNTIF(CONG_VIEC!F6:F305,A43))</f>
        <v/>
      </c>
      <c r="C43" s="2">
        <f>IF(A43="","",B43-COUNTIFS(CONG_VIEC!F6:F305,A43,CONG_VIEC!K6:K305,"Hoàn thành"))</f>
        <v/>
      </c>
      <c r="D43" s="2">
        <f>IF(A43="","",COUNTIFS(CONG_VIEC!F6:F305,A43,CONG_VIEC!P6:P305,"Quá hạn"))</f>
        <v/>
      </c>
      <c r="E43" s="2">
        <f>IF(A43="","",COUNTIFS(CONG_VIEC!F6:F305,A43,CONG_VIEC!P6:P305,"Sắp đến hạn")+COUNTIFS(CONG_VIEC!F6:F305,A43,CONG_VIEC!P6:P305,"Đến hạn hôm nay"))</f>
        <v/>
      </c>
      <c r="F43" s="2">
        <f>IF(A43="","",COUNTIFS(CONG_VIEC!F6:F305,A43,CONG_VIEC!K6:K305,"Hoàn thành"))</f>
        <v/>
      </c>
      <c r="G43" s="2">
        <f>IF(A43="","",COUNTIFS(CONG_VIEC!F6:F305,A43,CONG_VIEC!P6:P305,"Xong đúng hạn"))</f>
        <v/>
      </c>
      <c r="H43" s="2">
        <f>IF(A43="","",COUNTIFS(CONG_VIEC!F6:F305,A43,CONG_VIEC!P6:P305,"Xong trễ"))</f>
        <v/>
      </c>
      <c r="I43" s="14" t="n"/>
      <c r="J43" s="14" t="n"/>
      <c r="K43" s="2" t="n"/>
      <c r="L43" s="2" t="n"/>
      <c r="M43" s="2" t="n"/>
      <c r="N43" s="2" t="n"/>
    </row>
  </sheetData>
  <mergeCells count="14">
    <mergeCell ref="E6:F6"/>
    <mergeCell ref="C6:D6"/>
    <mergeCell ref="I6:J6"/>
    <mergeCell ref="M6:N6"/>
    <mergeCell ref="C5:D5"/>
    <mergeCell ref="A5:B5"/>
    <mergeCell ref="G5:H5"/>
    <mergeCell ref="E5:F5"/>
    <mergeCell ref="K5:L5"/>
    <mergeCell ref="I5:J5"/>
    <mergeCell ref="M5:N5"/>
    <mergeCell ref="G6:H6"/>
    <mergeCell ref="K6:L6"/>
    <mergeCell ref="A6:B6"/>
  </mergeCells>
  <conditionalFormatting sqref="D11:D20">
    <cfRule type="cellIs" priority="1" operator="greaterThan" dxfId="2">
      <formula>0</formula>
    </cfRule>
  </conditionalFormatting>
  <conditionalFormatting sqref="D24:D43">
    <cfRule type="cellIs" priority="2" operator="greaterThan" dxfId="2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45" customWidth="1" min="2" max="2"/>
    <col width="20" customWidth="1" min="3" max="3"/>
    <col width="20" customWidth="1" min="4" max="4"/>
    <col width="12" customWidth="1" min="5" max="5"/>
    <col width="12" customWidth="1" min="6" max="6"/>
    <col width="16" customWidth="1" min="7" max="7"/>
    <col width="10" customWidth="1" min="8" max="8"/>
  </cols>
  <sheetData>
    <row r="1">
      <c r="A1" s="1" t="inlineStr">
        <is>
          <t>VIỆC HÔM NAY — dùng giao ban đầu giờ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8" t="inlineStr">
        <is>
          <t>Việc QUÁ HẠN + ĐẾN HẠN HÔM NAY, tự sắp theo hạn (cũ nhất lên đầu).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inlineStr">
        <is>
          <t>Hôm nay:</t>
        </is>
      </c>
      <c r="B3" s="9">
        <f>TODAY()</f>
        <v/>
      </c>
      <c r="C3" s="2" t="n"/>
      <c r="D3" s="2" t="inlineStr">
        <is>
          <t>Số việc:</t>
        </is>
      </c>
      <c r="E3" s="2">
        <f>COUNTIF(CONG_VIEC!P6:P305,"Quá hạn")+COUNTIF(CONG_VIEC!P6:P305,"Đến hạn hôm nay")</f>
        <v/>
      </c>
      <c r="F3" s="2" t="n"/>
      <c r="G3" s="2" t="n"/>
      <c r="H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</row>
    <row r="5">
      <c r="A5" s="2">
        <f>IFERROR(QUERY(CONG_VIEC!A5:R305,"select A,C,D,F,J,R,P where C is not null and (P = 'Quá hạn' or P = 'Đến hạn hôm nay') order by J format J 'dd/mm/yyyy'",1),"(không có việc)")</f>
        <v/>
      </c>
      <c r="B5" s="2" t="n"/>
      <c r="C5" s="2" t="n"/>
      <c r="D5" s="2" t="n"/>
      <c r="E5" s="2" t="n"/>
      <c r="F5" s="2" t="n"/>
      <c r="G5" s="2" t="n"/>
      <c r="H5" s="15" t="inlineStr">
        <is>
          <t>Trễ (ngày)</t>
        </is>
      </c>
    </row>
    <row r="6">
      <c r="A6" s="2" t="n"/>
      <c r="B6" s="2" t="n"/>
      <c r="C6" s="2" t="n"/>
      <c r="D6" s="2" t="n"/>
      <c r="E6" s="2" t="n"/>
      <c r="F6" s="2" t="n"/>
      <c r="G6" s="2" t="n"/>
      <c r="H6" s="2">
        <f>ARRAYFORMULA(IF(E6:E200="","",IFERROR(TODAY()-E6:E200,"")))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2" customWidth="1" min="3" max="3"/>
    <col width="2" customWidth="1" min="4" max="4"/>
    <col width="32" customWidth="1" min="5" max="5"/>
    <col width="18" customWidth="1" min="6" max="6"/>
    <col width="12" customWidth="1" min="7" max="7"/>
    <col width="2" customWidth="1" min="8" max="8"/>
    <col width="32" customWidth="1" min="9" max="9"/>
    <col width="18" customWidth="1" min="10" max="10"/>
    <col width="12" customWidth="1" min="11" max="11"/>
    <col width="2" customWidth="1" min="12" max="12"/>
    <col width="32" customWidth="1" min="13" max="13"/>
    <col width="18" customWidth="1" min="14" max="14"/>
    <col width="12" customWidth="1" min="15" max="15"/>
    <col width="2" customWidth="1" min="16" max="16"/>
  </cols>
  <sheetData>
    <row r="1">
      <c r="A1" s="1" t="inlineStr">
        <is>
          <t>BẢNG KANBAN — theo trạng thái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8" t="inlineStr">
        <is>
          <t>Trạng thái để trống = 'Chưa làm'. Mỗi cột tự sắp theo hạn.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6">
        <f>"CHƯA LÀM ("&amp;COUNTIF(CONG_VIEC!R6:R305,"Chưa làm")&amp;")"</f>
        <v/>
      </c>
      <c r="B4" s="2" t="n"/>
      <c r="C4" s="2" t="n"/>
      <c r="D4" s="2" t="n"/>
      <c r="E4" s="6">
        <f>"ĐANG LÀM ("&amp;COUNTIF(CONG_VIEC!R6:R305,"Đang làm")&amp;")"</f>
        <v/>
      </c>
      <c r="F4" s="2" t="n"/>
      <c r="G4" s="2" t="n"/>
      <c r="H4" s="2" t="n"/>
      <c r="I4" s="6">
        <f>"CHỜ DUYỆT ("&amp;COUNTIF(CONG_VIEC!R6:R305,"Chờ duyệt")&amp;")"</f>
        <v/>
      </c>
      <c r="J4" s="2" t="n"/>
      <c r="K4" s="2" t="n"/>
      <c r="L4" s="2" t="n"/>
      <c r="M4" s="6">
        <f>"HOÀN THÀNH ("&amp;COUNTIF(CONG_VIEC!R6:R305,"Hoàn thành")&amp;")"</f>
        <v/>
      </c>
      <c r="N4" s="2" t="n"/>
      <c r="O4" s="2" t="n"/>
    </row>
    <row r="5">
      <c r="A5" s="2">
        <f>IFERROR(QUERY(CONG_VIEC!A5:R305,"select C,F,J where C is not null and R = 'Chưa làm' order by J format J 'dd/mm/yyyy'",1),"(không có việc)")</f>
        <v/>
      </c>
      <c r="B5" s="2" t="n"/>
      <c r="C5" s="2" t="n"/>
      <c r="D5" s="2" t="n"/>
      <c r="E5" s="2">
        <f>IFERROR(QUERY(CONG_VIEC!A5:R305,"select C,F,J where C is not null and R = 'Đang làm' order by J format J 'dd/mm/yyyy'",1),"(không có việc)")</f>
        <v/>
      </c>
      <c r="F5" s="2" t="n"/>
      <c r="G5" s="2" t="n"/>
      <c r="H5" s="2" t="n"/>
      <c r="I5" s="2">
        <f>IFERROR(QUERY(CONG_VIEC!A5:R305,"select C,F,J where C is not null and R = 'Chờ duyệt' order by J format J 'dd/mm/yyyy'",1),"(không có việc)")</f>
        <v/>
      </c>
      <c r="J5" s="2" t="n"/>
      <c r="K5" s="2" t="n"/>
      <c r="L5" s="2" t="n"/>
      <c r="M5" s="2">
        <f>IFERROR(QUERY(CONG_VIEC!A5:R305,"select C,F,J where C is not null and R = 'Hoàn thành' order by J format J 'dd/mm/yyyy'",1),"(không có việc)")</f>
        <v/>
      </c>
      <c r="N5" s="2" t="n"/>
      <c r="O5" s="2" t="n"/>
    </row>
  </sheetData>
  <mergeCells count="4">
    <mergeCell ref="A4:C4"/>
    <mergeCell ref="E4:G4"/>
    <mergeCell ref="M4:O4"/>
    <mergeCell ref="I4:K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2" customWidth="1" min="3" max="3"/>
    <col width="3" customWidth="1" min="4" max="4"/>
    <col width="34" customWidth="1" min="5" max="5"/>
    <col width="18" customWidth="1" min="6" max="6"/>
    <col width="12" customWidth="1" min="7" max="7"/>
  </cols>
  <sheetData>
    <row r="1">
      <c r="A1" s="1" t="inlineStr">
        <is>
          <t>MA TRẬN EISENHOWER — việc chưa hoàn thành</t>
        </is>
      </c>
      <c r="B1" s="2" t="n"/>
      <c r="C1" s="2" t="n"/>
      <c r="D1" s="2" t="n"/>
      <c r="E1" s="2" t="n"/>
      <c r="F1" s="2" t="n"/>
      <c r="G1" s="2" t="n"/>
    </row>
    <row r="2">
      <c r="A2" s="8" t="inlineStr">
        <is>
          <t>Quan trọng + Khẩn cấp → Làm ngay; Quan trọng → Lên lịch; Khẩn cấp → Giao lại; còn lại → Để sau.</t>
        </is>
      </c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16">
        <f>"1. LÀM NGAY ("&amp;COUNTIFS(CONG_VIEC!N6:N305,"1. Làm ngay",CONG_VIEC!R6:R305,"&lt;&gt;Hoàn thành")&amp;")"</f>
        <v/>
      </c>
      <c r="B4" s="2" t="n"/>
      <c r="C4" s="2" t="n"/>
      <c r="D4" s="2" t="n"/>
      <c r="E4" s="17">
        <f>"2. LÊN LỊCH ("&amp;COUNTIFS(CONG_VIEC!N6:N305,"2. Lên lịch",CONG_VIEC!R6:R305,"&lt;&gt;Hoàn thành")&amp;")"</f>
        <v/>
      </c>
      <c r="F4" s="2" t="n"/>
      <c r="G4" s="2" t="n"/>
    </row>
    <row r="5">
      <c r="A5" s="2">
        <f>IFERROR(QUERY(CONG_VIEC!A5:R305,"select C,F,J where C is not null and N = '1. Làm ngay' and R &lt;&gt; 'Hoàn thành' order by J format J 'dd/mm/yyyy'",1),"(không có việc)")</f>
        <v/>
      </c>
      <c r="B5" s="2" t="n"/>
      <c r="C5" s="2" t="n"/>
      <c r="D5" s="2" t="n"/>
      <c r="E5" s="2">
        <f>IFERROR(QUERY(CONG_VIEC!A5:R305,"select C,F,J where C is not null and N = '2. Lên lịch' and R &lt;&gt; 'Hoàn thành' order by J format J 'dd/mm/yyyy'",1),"(không có việc)")</f>
        <v/>
      </c>
      <c r="F5" s="2" t="n"/>
      <c r="G5" s="2" t="n"/>
    </row>
    <row r="6">
      <c r="A6" s="2" t="n"/>
      <c r="B6" s="2" t="n"/>
      <c r="C6" s="2" t="n"/>
      <c r="D6" s="2" t="n"/>
      <c r="E6" s="2" t="n"/>
      <c r="F6" s="2" t="n"/>
      <c r="G6" s="2" t="n"/>
    </row>
    <row r="7">
      <c r="A7" s="2" t="n"/>
      <c r="B7" s="2" t="n"/>
      <c r="C7" s="2" t="n"/>
      <c r="D7" s="2" t="n"/>
      <c r="E7" s="2" t="n"/>
      <c r="F7" s="2" t="n"/>
      <c r="G7" s="2" t="n"/>
    </row>
    <row r="8">
      <c r="A8" s="2" t="n"/>
      <c r="B8" s="2" t="n"/>
      <c r="C8" s="2" t="n"/>
      <c r="D8" s="2" t="n"/>
      <c r="E8" s="2" t="n"/>
      <c r="F8" s="2" t="n"/>
      <c r="G8" s="2" t="n"/>
    </row>
    <row r="9">
      <c r="A9" s="2" t="n"/>
      <c r="B9" s="2" t="n"/>
      <c r="C9" s="2" t="n"/>
      <c r="D9" s="2" t="n"/>
      <c r="E9" s="2" t="n"/>
      <c r="F9" s="2" t="n"/>
      <c r="G9" s="2" t="n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2" t="n"/>
      <c r="B11" s="2" t="n"/>
      <c r="C11" s="2" t="n"/>
      <c r="D11" s="2" t="n"/>
      <c r="E11" s="2" t="n"/>
      <c r="F11" s="2" t="n"/>
      <c r="G11" s="2" t="n"/>
    </row>
    <row r="12">
      <c r="A12" s="2" t="n"/>
      <c r="B12" s="2" t="n"/>
      <c r="C12" s="2" t="n"/>
      <c r="D12" s="2" t="n"/>
      <c r="E12" s="2" t="n"/>
      <c r="F12" s="2" t="n"/>
      <c r="G12" s="2" t="n"/>
    </row>
    <row r="13">
      <c r="A13" s="2" t="n"/>
      <c r="B13" s="2" t="n"/>
      <c r="C13" s="2" t="n"/>
      <c r="D13" s="2" t="n"/>
      <c r="E13" s="2" t="n"/>
      <c r="F13" s="2" t="n"/>
      <c r="G13" s="2" t="n"/>
    </row>
    <row r="14">
      <c r="A14" s="2" t="n"/>
      <c r="B14" s="2" t="n"/>
      <c r="C14" s="2" t="n"/>
      <c r="D14" s="2" t="n"/>
      <c r="E14" s="2" t="n"/>
      <c r="F14" s="2" t="n"/>
      <c r="G14" s="2" t="n"/>
    </row>
    <row r="15">
      <c r="A15" s="2" t="n"/>
      <c r="B15" s="2" t="n"/>
      <c r="C15" s="2" t="n"/>
      <c r="D15" s="2" t="n"/>
      <c r="E15" s="2" t="n"/>
      <c r="F15" s="2" t="n"/>
      <c r="G15" s="2" t="n"/>
    </row>
    <row r="16">
      <c r="A16" s="2" t="n"/>
      <c r="B16" s="2" t="n"/>
      <c r="C16" s="2" t="n"/>
      <c r="D16" s="2" t="n"/>
      <c r="E16" s="2" t="n"/>
      <c r="F16" s="2" t="n"/>
      <c r="G16" s="2" t="n"/>
    </row>
    <row r="17">
      <c r="A17" s="2" t="n"/>
      <c r="B17" s="2" t="n"/>
      <c r="C17" s="2" t="n"/>
      <c r="D17" s="2" t="n"/>
      <c r="E17" s="2" t="n"/>
      <c r="F17" s="2" t="n"/>
      <c r="G17" s="2" t="n"/>
    </row>
    <row r="18">
      <c r="A18" s="2" t="n"/>
      <c r="B18" s="2" t="n"/>
      <c r="C18" s="2" t="n"/>
      <c r="D18" s="2" t="n"/>
      <c r="E18" s="2" t="n"/>
      <c r="F18" s="2" t="n"/>
      <c r="G18" s="2" t="n"/>
    </row>
    <row r="19">
      <c r="A19" s="2" t="n"/>
      <c r="B19" s="2" t="n"/>
      <c r="C19" s="2" t="n"/>
      <c r="D19" s="2" t="n"/>
      <c r="E19" s="2" t="n"/>
      <c r="F19" s="2" t="n"/>
      <c r="G19" s="2" t="n"/>
    </row>
    <row r="20">
      <c r="A20" s="2" t="n"/>
      <c r="B20" s="2" t="n"/>
      <c r="C20" s="2" t="n"/>
      <c r="D20" s="2" t="n"/>
      <c r="E20" s="2" t="n"/>
      <c r="F20" s="2" t="n"/>
      <c r="G20" s="2" t="n"/>
    </row>
    <row r="21">
      <c r="A21" s="2" t="n"/>
      <c r="B21" s="2" t="n"/>
      <c r="C21" s="2" t="n"/>
      <c r="D21" s="2" t="n"/>
      <c r="E21" s="2" t="n"/>
      <c r="F21" s="2" t="n"/>
      <c r="G21" s="2" t="n"/>
    </row>
    <row r="22">
      <c r="A22" s="2" t="n"/>
      <c r="B22" s="2" t="n"/>
      <c r="C22" s="2" t="n"/>
      <c r="D22" s="2" t="n"/>
      <c r="E22" s="2" t="n"/>
      <c r="F22" s="2" t="n"/>
      <c r="G22" s="2" t="n"/>
    </row>
    <row r="23">
      <c r="A23" s="2" t="n"/>
      <c r="B23" s="2" t="n"/>
      <c r="C23" s="2" t="n"/>
      <c r="D23" s="2" t="n"/>
      <c r="E23" s="2" t="n"/>
      <c r="F23" s="2" t="n"/>
      <c r="G23" s="2" t="n"/>
    </row>
    <row r="24">
      <c r="A24" s="2" t="n"/>
      <c r="B24" s="2" t="n"/>
      <c r="C24" s="2" t="n"/>
      <c r="D24" s="2" t="n"/>
      <c r="E24" s="2" t="n"/>
      <c r="F24" s="2" t="n"/>
      <c r="G24" s="2" t="n"/>
    </row>
    <row r="25">
      <c r="A25" s="2" t="n"/>
      <c r="B25" s="2" t="n"/>
      <c r="C25" s="2" t="n"/>
      <c r="D25" s="2" t="n"/>
      <c r="E25" s="2" t="n"/>
      <c r="F25" s="2" t="n"/>
      <c r="G25" s="2" t="n"/>
    </row>
    <row r="26">
      <c r="A26" s="2" t="n"/>
      <c r="B26" s="2" t="n"/>
      <c r="C26" s="2" t="n"/>
      <c r="D26" s="2" t="n"/>
      <c r="E26" s="2" t="n"/>
      <c r="F26" s="2" t="n"/>
      <c r="G26" s="2" t="n"/>
    </row>
    <row r="27">
      <c r="A27" s="2" t="n"/>
      <c r="B27" s="2" t="n"/>
      <c r="C27" s="2" t="n"/>
      <c r="D27" s="2" t="n"/>
      <c r="E27" s="2" t="n"/>
      <c r="F27" s="2" t="n"/>
      <c r="G27" s="2" t="n"/>
    </row>
    <row r="28">
      <c r="A28" s="2" t="n"/>
      <c r="B28" s="2" t="n"/>
      <c r="C28" s="2" t="n"/>
      <c r="D28" s="2" t="n"/>
      <c r="E28" s="2" t="n"/>
      <c r="F28" s="2" t="n"/>
      <c r="G28" s="2" t="n"/>
    </row>
    <row r="29">
      <c r="A29" s="2" t="n"/>
      <c r="B29" s="2" t="n"/>
      <c r="C29" s="2" t="n"/>
      <c r="D29" s="2" t="n"/>
      <c r="E29" s="2" t="n"/>
      <c r="F29" s="2" t="n"/>
      <c r="G29" s="2" t="n"/>
    </row>
    <row r="30">
      <c r="A30" s="2" t="n"/>
      <c r="B30" s="2" t="n"/>
      <c r="C30" s="2" t="n"/>
      <c r="D30" s="2" t="n"/>
      <c r="E30" s="2" t="n"/>
      <c r="F30" s="2" t="n"/>
      <c r="G30" s="2" t="n"/>
    </row>
    <row r="31">
      <c r="A31" s="2" t="n"/>
      <c r="B31" s="2" t="n"/>
      <c r="C31" s="2" t="n"/>
      <c r="D31" s="2" t="n"/>
      <c r="E31" s="2" t="n"/>
      <c r="F31" s="2" t="n"/>
      <c r="G31" s="2" t="n"/>
    </row>
    <row r="32">
      <c r="A32" s="2" t="n"/>
      <c r="B32" s="2" t="n"/>
      <c r="C32" s="2" t="n"/>
      <c r="D32" s="2" t="n"/>
      <c r="E32" s="2" t="n"/>
      <c r="F32" s="2" t="n"/>
      <c r="G32" s="2" t="n"/>
    </row>
    <row r="33">
      <c r="A33" s="18" t="inlineStr">
        <is>
          <t>Mỗi ô hiện tối đa ~28 việc trước khi chạm ô bên dưới; nếu nhiều hơn, xem bộ lọc ở CONG_VIEC.</t>
        </is>
      </c>
      <c r="B33" s="2" t="n"/>
      <c r="C33" s="2" t="n"/>
      <c r="D33" s="2" t="n"/>
      <c r="E33" s="2" t="n"/>
      <c r="F33" s="2" t="n"/>
      <c r="G33" s="2" t="n"/>
    </row>
    <row r="34">
      <c r="A34" s="19">
        <f>"3. GIAO LẠI ("&amp;COUNTIFS(CONG_VIEC!N6:N305,"3. Giao lại",CONG_VIEC!R6:R305,"&lt;&gt;Hoàn thành")&amp;")"</f>
        <v/>
      </c>
      <c r="B34" s="2" t="n"/>
      <c r="C34" s="2" t="n"/>
      <c r="D34" s="2" t="n"/>
      <c r="E34" s="20">
        <f>"4. ĐỂ SAU ("&amp;COUNTIFS(CONG_VIEC!N6:N305,"4. Để sau",CONG_VIEC!R6:R305,"&lt;&gt;Hoàn thành")&amp;")"</f>
        <v/>
      </c>
      <c r="F34" s="2" t="n"/>
      <c r="G34" s="2" t="n"/>
    </row>
    <row r="35">
      <c r="A35" s="2">
        <f>IFERROR(QUERY(CONG_VIEC!A5:R305,"select C,F,J where C is not null and N = '3. Giao lại' and R &lt;&gt; 'Hoàn thành' order by J format J 'dd/mm/yyyy'",1),"(không có việc)")</f>
        <v/>
      </c>
      <c r="B35" s="2" t="n"/>
      <c r="C35" s="2" t="n"/>
      <c r="D35" s="2" t="n"/>
      <c r="E35" s="2">
        <f>IFERROR(QUERY(CONG_VIEC!A5:R305,"select C,F,J where C is not null and N = '4. Để sau' and R &lt;&gt; 'Hoàn thành' order by J format J 'dd/mm/yyyy'",1),"(không có việc)")</f>
        <v/>
      </c>
      <c r="F35" s="2" t="n"/>
      <c r="G35" s="2" t="n"/>
    </row>
  </sheetData>
  <mergeCells count="4">
    <mergeCell ref="A4:C4"/>
    <mergeCell ref="E34:G34"/>
    <mergeCell ref="E4:G4"/>
    <mergeCell ref="A34:C3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18" customWidth="1" min="3" max="3"/>
    <col width="18" customWidth="1" min="4" max="4"/>
    <col width="12" customWidth="1" min="5" max="5"/>
    <col width="16" customWidth="1" min="6" max="6"/>
    <col width="12" customWidth="1" min="7" max="7"/>
    <col width="12" customWidth="1" min="8" max="8"/>
  </cols>
  <sheetData>
    <row r="1">
      <c r="A1" s="1" t="inlineStr">
        <is>
          <t>KẾ HOẠCH TUẦN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8" t="inlineStr">
        <is>
          <t>Đổi ô vàng C3 sang ngày thứ Hai của tuần muốn xem. Mặc định = tuần hiện tại.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inlineStr">
        <is>
          <t>Tuần bắt đầu:</t>
        </is>
      </c>
      <c r="B3" s="2" t="n"/>
      <c r="C3" s="21">
        <f>TODAY()-WEEKDAY(TODAY(),2)+1</f>
        <v/>
      </c>
      <c r="D3" s="2" t="inlineStr">
        <is>
          <t>đến</t>
        </is>
      </c>
      <c r="E3" s="9">
        <f>C3+6</f>
        <v/>
      </c>
      <c r="F3" s="2" t="n"/>
      <c r="G3" s="2">
        <f>"Tuần "&amp;WEEKNUM(C3,21)</f>
        <v/>
      </c>
      <c r="H3" s="2" t="n"/>
    </row>
    <row r="4">
      <c r="A4" s="2" t="n"/>
      <c r="B4" s="6" t="inlineStr">
        <is>
          <t>Thứ Hai</t>
        </is>
      </c>
      <c r="C4" s="6" t="inlineStr">
        <is>
          <t>Thứ Ba</t>
        </is>
      </c>
      <c r="D4" s="6" t="inlineStr">
        <is>
          <t>Thứ Tư</t>
        </is>
      </c>
      <c r="E4" s="6" t="inlineStr">
        <is>
          <t>Thứ Năm</t>
        </is>
      </c>
      <c r="F4" s="6" t="inlineStr">
        <is>
          <t>Thứ Sáu</t>
        </is>
      </c>
      <c r="G4" s="6" t="inlineStr">
        <is>
          <t>Thứ Bảy</t>
        </is>
      </c>
      <c r="H4" s="6" t="inlineStr">
        <is>
          <t>Chủ nhật</t>
        </is>
      </c>
    </row>
    <row r="5">
      <c r="A5" s="22" t="inlineStr">
        <is>
          <t>Ngày</t>
        </is>
      </c>
      <c r="B5" s="23">
        <f>$C$3+0</f>
        <v/>
      </c>
      <c r="C5" s="23">
        <f>$C$3+1</f>
        <v/>
      </c>
      <c r="D5" s="23">
        <f>$C$3+2</f>
        <v/>
      </c>
      <c r="E5" s="23">
        <f>$C$3+3</f>
        <v/>
      </c>
      <c r="F5" s="23">
        <f>$C$3+4</f>
        <v/>
      </c>
      <c r="G5" s="23">
        <f>$C$3+5</f>
        <v/>
      </c>
      <c r="H5" s="23">
        <f>$C$3+6</f>
        <v/>
      </c>
    </row>
    <row r="6">
      <c r="A6" s="22" t="inlineStr">
        <is>
          <t>Số việc đến hạn</t>
        </is>
      </c>
      <c r="B6" s="2">
        <f>COUNTIF(CONG_VIEC!J6:J305,B5)</f>
        <v/>
      </c>
      <c r="C6" s="2">
        <f>COUNTIF(CONG_VIEC!J6:J305,C5)</f>
        <v/>
      </c>
      <c r="D6" s="2">
        <f>COUNTIF(CONG_VIEC!J6:J305,D5)</f>
        <v/>
      </c>
      <c r="E6" s="2">
        <f>COUNTIF(CONG_VIEC!J6:J305,E5)</f>
        <v/>
      </c>
      <c r="F6" s="2">
        <f>COUNTIF(CONG_VIEC!J6:J305,F5)</f>
        <v/>
      </c>
      <c r="G6" s="2">
        <f>COUNTIF(CONG_VIEC!J6:J305,G5)</f>
        <v/>
      </c>
      <c r="H6" s="2">
        <f>COUNTIF(CONG_VIEC!J6:J305,H5)</f>
        <v/>
      </c>
    </row>
    <row r="7">
      <c r="A7" s="22" t="inlineStr">
        <is>
          <t>Đã xong</t>
        </is>
      </c>
      <c r="B7" s="2">
        <f>COUNTIFS(CONG_VIEC!J6:J305,B5,CONG_VIEC!K6:K305,"Hoàn thành")</f>
        <v/>
      </c>
      <c r="C7" s="2">
        <f>COUNTIFS(CONG_VIEC!J6:J305,C5,CONG_VIEC!K6:K305,"Hoàn thành")</f>
        <v/>
      </c>
      <c r="D7" s="2">
        <f>COUNTIFS(CONG_VIEC!J6:J305,D5,CONG_VIEC!K6:K305,"Hoàn thành")</f>
        <v/>
      </c>
      <c r="E7" s="2">
        <f>COUNTIFS(CONG_VIEC!J6:J305,E5,CONG_VIEC!K6:K305,"Hoàn thành")</f>
        <v/>
      </c>
      <c r="F7" s="2">
        <f>COUNTIFS(CONG_VIEC!J6:J305,F5,CONG_VIEC!K6:K305,"Hoàn thành")</f>
        <v/>
      </c>
      <c r="G7" s="2">
        <f>COUNTIFS(CONG_VIEC!J6:J305,G5,CONG_VIEC!K6:K305,"Hoàn thành")</f>
        <v/>
      </c>
      <c r="H7" s="2">
        <f>COUNTIFS(CONG_VIEC!J6:J305,H5,CONG_VIEC!K6:K305,"Hoàn thành")</f>
        <v/>
      </c>
    </row>
    <row r="8">
      <c r="A8" s="2" t="n"/>
      <c r="B8" s="2" t="n"/>
      <c r="C8" s="2" t="n"/>
      <c r="D8" s="2" t="n"/>
      <c r="E8" s="2" t="n"/>
      <c r="F8" s="2" t="n"/>
      <c r="G8" s="2" t="n"/>
      <c r="H8" s="2" t="n"/>
    </row>
    <row r="9">
      <c r="A9" s="13" t="inlineStr">
        <is>
          <t>Danh sách việc có hạn trong tuần (sắp theo hạn)</t>
        </is>
      </c>
      <c r="B9" s="2" t="n"/>
      <c r="C9" s="2" t="n"/>
      <c r="D9" s="2" t="n"/>
      <c r="E9" s="2" t="n"/>
      <c r="F9" s="2" t="n"/>
      <c r="G9" s="2" t="n"/>
      <c r="H9" s="2" t="n"/>
    </row>
    <row r="10">
      <c r="A10" s="2">
        <f>IFERROR(QUERY(CONG_VIEC!A5:R305,"select J,C,D,F,R,P where C is not null and J &gt;= date '"&amp;TEXT(C3,"yyyy-mm-dd")&amp;"' and J &lt;= date '"&amp;TEXT(C3+6,"yyyy-mm-dd")&amp;"' order by J format J 'dd/mm/yyyy'",1),"(không có việc)")</f>
        <v/>
      </c>
      <c r="B10" s="2" t="n"/>
      <c r="C10" s="2" t="n"/>
      <c r="D10" s="2" t="n"/>
      <c r="E10" s="2" t="n"/>
      <c r="F10" s="2" t="n"/>
      <c r="G10" s="2" t="n"/>
      <c r="H10" s="2" t="n"/>
    </row>
  </sheetData>
  <conditionalFormatting sqref="B5:H5">
    <cfRule type="expression" priority="1" dxfId="3">
      <formula>B5=TODAY()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LỊCH THÁNG — việc theo hạn hoàn thành</t>
        </is>
      </c>
      <c r="B1" s="2" t="n"/>
      <c r="C1" s="2" t="n"/>
      <c r="D1" s="2" t="n"/>
      <c r="E1" s="2" t="n"/>
      <c r="F1" s="2" t="n"/>
      <c r="G1" s="2" t="n"/>
    </row>
    <row r="2">
      <c r="A2" s="8" t="inlineStr">
        <is>
          <t>Đổi ô vàng C3 sang ngày 1 của tháng muốn xem. Mỗi ô: số việc đến hạn và tên các việc.</t>
        </is>
      </c>
      <c r="B2" s="2" t="n"/>
      <c r="C2" s="2" t="n"/>
      <c r="D2" s="2" t="n"/>
      <c r="E2" s="2" t="n"/>
      <c r="F2" s="2" t="n"/>
      <c r="G2" s="2" t="n"/>
    </row>
    <row r="3">
      <c r="A3" s="2" t="inlineStr">
        <is>
          <t>Tháng:</t>
        </is>
      </c>
      <c r="B3" s="2" t="n"/>
      <c r="C3" s="24">
        <f>DATE(YEAR(TODAY()),MONTH(TODAY()),1)</f>
        <v/>
      </c>
      <c r="D3" s="2" t="inlineStr">
        <is>
          <t>Ô lịch đầu:</t>
        </is>
      </c>
      <c r="E3" s="9">
        <f>C3-WEEKDAY(C3,2)+1</f>
        <v/>
      </c>
      <c r="F3" s="2" t="n"/>
      <c r="G3" s="2" t="n"/>
    </row>
    <row r="4">
      <c r="A4" s="2" t="n"/>
      <c r="B4" s="2" t="n"/>
      <c r="C4" s="2" t="n"/>
      <c r="D4" s="2" t="n"/>
      <c r="E4" s="2" t="n"/>
      <c r="F4" s="2" t="n"/>
      <c r="G4" s="2" t="n"/>
    </row>
    <row r="5">
      <c r="A5" s="6" t="inlineStr">
        <is>
          <t>Thứ Hai</t>
        </is>
      </c>
      <c r="B5" s="6" t="inlineStr">
        <is>
          <t>Thứ Ba</t>
        </is>
      </c>
      <c r="C5" s="6" t="inlineStr">
        <is>
          <t>Thứ Tư</t>
        </is>
      </c>
      <c r="D5" s="6" t="inlineStr">
        <is>
          <t>Thứ Năm</t>
        </is>
      </c>
      <c r="E5" s="6" t="inlineStr">
        <is>
          <t>Thứ Sáu</t>
        </is>
      </c>
      <c r="F5" s="6" t="inlineStr">
        <is>
          <t>Thứ Bảy</t>
        </is>
      </c>
      <c r="G5" s="6" t="inlineStr">
        <is>
          <t>Chủ nhật</t>
        </is>
      </c>
    </row>
    <row r="6">
      <c r="A6" s="25">
        <f>$E$3+0</f>
        <v/>
      </c>
      <c r="B6" s="25">
        <f>$E$3+1</f>
        <v/>
      </c>
      <c r="C6" s="25">
        <f>$E$3+2</f>
        <v/>
      </c>
      <c r="D6" s="25">
        <f>$E$3+3</f>
        <v/>
      </c>
      <c r="E6" s="25">
        <f>$E$3+4</f>
        <v/>
      </c>
      <c r="F6" s="25">
        <f>$E$3+5</f>
        <v/>
      </c>
      <c r="G6" s="25">
        <f>$E$3+6</f>
        <v/>
      </c>
    </row>
    <row r="7">
      <c r="A7" s="26">
        <f>IF(COUNTIF(CONG_VIEC!J6:J305,A6)=0,"",COUNTIF(CONG_VIEC!J6:J305,A6)&amp;" việc"&amp;IF(COUNTIFS(CONG_VIEC!J6:J305,A6,CONG_VIEC!P6:P305,"Quá hạn")&gt;0," · "&amp;COUNTIFS(CONG_VIEC!J6:J305,A6,CONG_VIEC!P6:P305,"Quá hạn")&amp;" quá hạn",""))</f>
        <v/>
      </c>
      <c r="B7" s="26">
        <f>IF(COUNTIF(CONG_VIEC!J6:J305,B6)=0,"",COUNTIF(CONG_VIEC!J6:J305,B6)&amp;" việc"&amp;IF(COUNTIFS(CONG_VIEC!J6:J305,B6,CONG_VIEC!P6:P305,"Quá hạn")&gt;0," · "&amp;COUNTIFS(CONG_VIEC!J6:J305,B6,CONG_VIEC!P6:P305,"Quá hạn")&amp;" quá hạn",""))</f>
        <v/>
      </c>
      <c r="C7" s="26">
        <f>IF(COUNTIF(CONG_VIEC!J6:J305,C6)=0,"",COUNTIF(CONG_VIEC!J6:J305,C6)&amp;" việc"&amp;IF(COUNTIFS(CONG_VIEC!J6:J305,C6,CONG_VIEC!P6:P305,"Quá hạn")&gt;0," · "&amp;COUNTIFS(CONG_VIEC!J6:J305,C6,CONG_VIEC!P6:P305,"Quá hạn")&amp;" quá hạn",""))</f>
        <v/>
      </c>
      <c r="D7" s="26">
        <f>IF(COUNTIF(CONG_VIEC!J6:J305,D6)=0,"",COUNTIF(CONG_VIEC!J6:J305,D6)&amp;" việc"&amp;IF(COUNTIFS(CONG_VIEC!J6:J305,D6,CONG_VIEC!P6:P305,"Quá hạn")&gt;0," · "&amp;COUNTIFS(CONG_VIEC!J6:J305,D6,CONG_VIEC!P6:P305,"Quá hạn")&amp;" quá hạn",""))</f>
        <v/>
      </c>
      <c r="E7" s="26">
        <f>IF(COUNTIF(CONG_VIEC!J6:J305,E6)=0,"",COUNTIF(CONG_VIEC!J6:J305,E6)&amp;" việc"&amp;IF(COUNTIFS(CONG_VIEC!J6:J305,E6,CONG_VIEC!P6:P305,"Quá hạn")&gt;0," · "&amp;COUNTIFS(CONG_VIEC!J6:J305,E6,CONG_VIEC!P6:P305,"Quá hạn")&amp;" quá hạn",""))</f>
        <v/>
      </c>
      <c r="F7" s="26">
        <f>IF(COUNTIF(CONG_VIEC!J6:J305,F6)=0,"",COUNTIF(CONG_VIEC!J6:J305,F6)&amp;" việc"&amp;IF(COUNTIFS(CONG_VIEC!J6:J305,F6,CONG_VIEC!P6:P305,"Quá hạn")&gt;0," · "&amp;COUNTIFS(CONG_VIEC!J6:J305,F6,CONG_VIEC!P6:P305,"Quá hạn")&amp;" quá hạn",""))</f>
        <v/>
      </c>
      <c r="G7" s="26">
        <f>IF(COUNTIF(CONG_VIEC!J6:J305,G6)=0,"",COUNTIF(CONG_VIEC!J6:J305,G6)&amp;" việc"&amp;IF(COUNTIFS(CONG_VIEC!J6:J305,G6,CONG_VIEC!P6:P305,"Quá hạn")&gt;0," · "&amp;COUNTIFS(CONG_VIEC!J6:J305,G6,CONG_VIEC!P6:P305,"Quá hạn")&amp;" quá hạn",""))</f>
        <v/>
      </c>
    </row>
    <row r="8" ht="45" customHeight="1">
      <c r="A8" s="27">
        <f>IFERROR(TEXTJOIN(CHAR(10),TRUE,FILTER(CONG_VIEC!C6:C305,CONG_VIEC!J6:J305=A6)),"")</f>
        <v/>
      </c>
      <c r="B8" s="27">
        <f>IFERROR(TEXTJOIN(CHAR(10),TRUE,FILTER(CONG_VIEC!C6:C305,CONG_VIEC!J6:J305=B6)),"")</f>
        <v/>
      </c>
      <c r="C8" s="27">
        <f>IFERROR(TEXTJOIN(CHAR(10),TRUE,FILTER(CONG_VIEC!C6:C305,CONG_VIEC!J6:J305=C6)),"")</f>
        <v/>
      </c>
      <c r="D8" s="27">
        <f>IFERROR(TEXTJOIN(CHAR(10),TRUE,FILTER(CONG_VIEC!C6:C305,CONG_VIEC!J6:J305=D6)),"")</f>
        <v/>
      </c>
      <c r="E8" s="27">
        <f>IFERROR(TEXTJOIN(CHAR(10),TRUE,FILTER(CONG_VIEC!C6:C305,CONG_VIEC!J6:J305=E6)),"")</f>
        <v/>
      </c>
      <c r="F8" s="27">
        <f>IFERROR(TEXTJOIN(CHAR(10),TRUE,FILTER(CONG_VIEC!C6:C305,CONG_VIEC!J6:J305=F6)),"")</f>
        <v/>
      </c>
      <c r="G8" s="27">
        <f>IFERROR(TEXTJOIN(CHAR(10),TRUE,FILTER(CONG_VIEC!C6:C305,CONG_VIEC!J6:J305=G6)),"")</f>
        <v/>
      </c>
    </row>
    <row r="9">
      <c r="A9" s="25">
        <f>$E$3+7</f>
        <v/>
      </c>
      <c r="B9" s="25">
        <f>$E$3+8</f>
        <v/>
      </c>
      <c r="C9" s="25">
        <f>$E$3+9</f>
        <v/>
      </c>
      <c r="D9" s="25">
        <f>$E$3+10</f>
        <v/>
      </c>
      <c r="E9" s="25">
        <f>$E$3+11</f>
        <v/>
      </c>
      <c r="F9" s="25">
        <f>$E$3+12</f>
        <v/>
      </c>
      <c r="G9" s="25">
        <f>$E$3+13</f>
        <v/>
      </c>
    </row>
    <row r="10">
      <c r="A10" s="26">
        <f>IF(COUNTIF(CONG_VIEC!J6:J305,A9)=0,"",COUNTIF(CONG_VIEC!J6:J305,A9)&amp;" việc"&amp;IF(COUNTIFS(CONG_VIEC!J6:J305,A9,CONG_VIEC!P6:P305,"Quá hạn")&gt;0," · "&amp;COUNTIFS(CONG_VIEC!J6:J305,A9,CONG_VIEC!P6:P305,"Quá hạn")&amp;" quá hạn",""))</f>
        <v/>
      </c>
      <c r="B10" s="26">
        <f>IF(COUNTIF(CONG_VIEC!J6:J305,B9)=0,"",COUNTIF(CONG_VIEC!J6:J305,B9)&amp;" việc"&amp;IF(COUNTIFS(CONG_VIEC!J6:J305,B9,CONG_VIEC!P6:P305,"Quá hạn")&gt;0," · "&amp;COUNTIFS(CONG_VIEC!J6:J305,B9,CONG_VIEC!P6:P305,"Quá hạn")&amp;" quá hạn",""))</f>
        <v/>
      </c>
      <c r="C10" s="26">
        <f>IF(COUNTIF(CONG_VIEC!J6:J305,C9)=0,"",COUNTIF(CONG_VIEC!J6:J305,C9)&amp;" việc"&amp;IF(COUNTIFS(CONG_VIEC!J6:J305,C9,CONG_VIEC!P6:P305,"Quá hạn")&gt;0," · "&amp;COUNTIFS(CONG_VIEC!J6:J305,C9,CONG_VIEC!P6:P305,"Quá hạn")&amp;" quá hạn",""))</f>
        <v/>
      </c>
      <c r="D10" s="26">
        <f>IF(COUNTIF(CONG_VIEC!J6:J305,D9)=0,"",COUNTIF(CONG_VIEC!J6:J305,D9)&amp;" việc"&amp;IF(COUNTIFS(CONG_VIEC!J6:J305,D9,CONG_VIEC!P6:P305,"Quá hạn")&gt;0," · "&amp;COUNTIFS(CONG_VIEC!J6:J305,D9,CONG_VIEC!P6:P305,"Quá hạn")&amp;" quá hạn",""))</f>
        <v/>
      </c>
      <c r="E10" s="26">
        <f>IF(COUNTIF(CONG_VIEC!J6:J305,E9)=0,"",COUNTIF(CONG_VIEC!J6:J305,E9)&amp;" việc"&amp;IF(COUNTIFS(CONG_VIEC!J6:J305,E9,CONG_VIEC!P6:P305,"Quá hạn")&gt;0," · "&amp;COUNTIFS(CONG_VIEC!J6:J305,E9,CONG_VIEC!P6:P305,"Quá hạn")&amp;" quá hạn",""))</f>
        <v/>
      </c>
      <c r="F10" s="26">
        <f>IF(COUNTIF(CONG_VIEC!J6:J305,F9)=0,"",COUNTIF(CONG_VIEC!J6:J305,F9)&amp;" việc"&amp;IF(COUNTIFS(CONG_VIEC!J6:J305,F9,CONG_VIEC!P6:P305,"Quá hạn")&gt;0," · "&amp;COUNTIFS(CONG_VIEC!J6:J305,F9,CONG_VIEC!P6:P305,"Quá hạn")&amp;" quá hạn",""))</f>
        <v/>
      </c>
      <c r="G10" s="26">
        <f>IF(COUNTIF(CONG_VIEC!J6:J305,G9)=0,"",COUNTIF(CONG_VIEC!J6:J305,G9)&amp;" việc"&amp;IF(COUNTIFS(CONG_VIEC!J6:J305,G9,CONG_VIEC!P6:P305,"Quá hạn")&gt;0," · "&amp;COUNTIFS(CONG_VIEC!J6:J305,G9,CONG_VIEC!P6:P305,"Quá hạn")&amp;" quá hạn",""))</f>
        <v/>
      </c>
    </row>
    <row r="11" ht="45" customHeight="1">
      <c r="A11" s="27">
        <f>IFERROR(TEXTJOIN(CHAR(10),TRUE,FILTER(CONG_VIEC!C6:C305,CONG_VIEC!J6:J305=A9)),"")</f>
        <v/>
      </c>
      <c r="B11" s="27">
        <f>IFERROR(TEXTJOIN(CHAR(10),TRUE,FILTER(CONG_VIEC!C6:C305,CONG_VIEC!J6:J305=B9)),"")</f>
        <v/>
      </c>
      <c r="C11" s="27">
        <f>IFERROR(TEXTJOIN(CHAR(10),TRUE,FILTER(CONG_VIEC!C6:C305,CONG_VIEC!J6:J305=C9)),"")</f>
        <v/>
      </c>
      <c r="D11" s="27">
        <f>IFERROR(TEXTJOIN(CHAR(10),TRUE,FILTER(CONG_VIEC!C6:C305,CONG_VIEC!J6:J305=D9)),"")</f>
        <v/>
      </c>
      <c r="E11" s="27">
        <f>IFERROR(TEXTJOIN(CHAR(10),TRUE,FILTER(CONG_VIEC!C6:C305,CONG_VIEC!J6:J305=E9)),"")</f>
        <v/>
      </c>
      <c r="F11" s="27">
        <f>IFERROR(TEXTJOIN(CHAR(10),TRUE,FILTER(CONG_VIEC!C6:C305,CONG_VIEC!J6:J305=F9)),"")</f>
        <v/>
      </c>
      <c r="G11" s="27">
        <f>IFERROR(TEXTJOIN(CHAR(10),TRUE,FILTER(CONG_VIEC!C6:C305,CONG_VIEC!J6:J305=G9)),"")</f>
        <v/>
      </c>
    </row>
    <row r="12">
      <c r="A12" s="25">
        <f>$E$3+14</f>
        <v/>
      </c>
      <c r="B12" s="25">
        <f>$E$3+15</f>
        <v/>
      </c>
      <c r="C12" s="25">
        <f>$E$3+16</f>
        <v/>
      </c>
      <c r="D12" s="25">
        <f>$E$3+17</f>
        <v/>
      </c>
      <c r="E12" s="25">
        <f>$E$3+18</f>
        <v/>
      </c>
      <c r="F12" s="25">
        <f>$E$3+19</f>
        <v/>
      </c>
      <c r="G12" s="25">
        <f>$E$3+20</f>
        <v/>
      </c>
    </row>
    <row r="13">
      <c r="A13" s="26">
        <f>IF(COUNTIF(CONG_VIEC!J6:J305,A12)=0,"",COUNTIF(CONG_VIEC!J6:J305,A12)&amp;" việc"&amp;IF(COUNTIFS(CONG_VIEC!J6:J305,A12,CONG_VIEC!P6:P305,"Quá hạn")&gt;0," · "&amp;COUNTIFS(CONG_VIEC!J6:J305,A12,CONG_VIEC!P6:P305,"Quá hạn")&amp;" quá hạn",""))</f>
        <v/>
      </c>
      <c r="B13" s="26">
        <f>IF(COUNTIF(CONG_VIEC!J6:J305,B12)=0,"",COUNTIF(CONG_VIEC!J6:J305,B12)&amp;" việc"&amp;IF(COUNTIFS(CONG_VIEC!J6:J305,B12,CONG_VIEC!P6:P305,"Quá hạn")&gt;0," · "&amp;COUNTIFS(CONG_VIEC!J6:J305,B12,CONG_VIEC!P6:P305,"Quá hạn")&amp;" quá hạn",""))</f>
        <v/>
      </c>
      <c r="C13" s="26">
        <f>IF(COUNTIF(CONG_VIEC!J6:J305,C12)=0,"",COUNTIF(CONG_VIEC!J6:J305,C12)&amp;" việc"&amp;IF(COUNTIFS(CONG_VIEC!J6:J305,C12,CONG_VIEC!P6:P305,"Quá hạn")&gt;0," · "&amp;COUNTIFS(CONG_VIEC!J6:J305,C12,CONG_VIEC!P6:P305,"Quá hạn")&amp;" quá hạn",""))</f>
        <v/>
      </c>
      <c r="D13" s="26">
        <f>IF(COUNTIF(CONG_VIEC!J6:J305,D12)=0,"",COUNTIF(CONG_VIEC!J6:J305,D12)&amp;" việc"&amp;IF(COUNTIFS(CONG_VIEC!J6:J305,D12,CONG_VIEC!P6:P305,"Quá hạn")&gt;0," · "&amp;COUNTIFS(CONG_VIEC!J6:J305,D12,CONG_VIEC!P6:P305,"Quá hạn")&amp;" quá hạn",""))</f>
        <v/>
      </c>
      <c r="E13" s="26">
        <f>IF(COUNTIF(CONG_VIEC!J6:J305,E12)=0,"",COUNTIF(CONG_VIEC!J6:J305,E12)&amp;" việc"&amp;IF(COUNTIFS(CONG_VIEC!J6:J305,E12,CONG_VIEC!P6:P305,"Quá hạn")&gt;0," · "&amp;COUNTIFS(CONG_VIEC!J6:J305,E12,CONG_VIEC!P6:P305,"Quá hạn")&amp;" quá hạn",""))</f>
        <v/>
      </c>
      <c r="F13" s="26">
        <f>IF(COUNTIF(CONG_VIEC!J6:J305,F12)=0,"",COUNTIF(CONG_VIEC!J6:J305,F12)&amp;" việc"&amp;IF(COUNTIFS(CONG_VIEC!J6:J305,F12,CONG_VIEC!P6:P305,"Quá hạn")&gt;0," · "&amp;COUNTIFS(CONG_VIEC!J6:J305,F12,CONG_VIEC!P6:P305,"Quá hạn")&amp;" quá hạn",""))</f>
        <v/>
      </c>
      <c r="G13" s="26">
        <f>IF(COUNTIF(CONG_VIEC!J6:J305,G12)=0,"",COUNTIF(CONG_VIEC!J6:J305,G12)&amp;" việc"&amp;IF(COUNTIFS(CONG_VIEC!J6:J305,G12,CONG_VIEC!P6:P305,"Quá hạn")&gt;0," · "&amp;COUNTIFS(CONG_VIEC!J6:J305,G12,CONG_VIEC!P6:P305,"Quá hạn")&amp;" quá hạn",""))</f>
        <v/>
      </c>
    </row>
    <row r="14" ht="45" customHeight="1">
      <c r="A14" s="27">
        <f>IFERROR(TEXTJOIN(CHAR(10),TRUE,FILTER(CONG_VIEC!C6:C305,CONG_VIEC!J6:J305=A12)),"")</f>
        <v/>
      </c>
      <c r="B14" s="27">
        <f>IFERROR(TEXTJOIN(CHAR(10),TRUE,FILTER(CONG_VIEC!C6:C305,CONG_VIEC!J6:J305=B12)),"")</f>
        <v/>
      </c>
      <c r="C14" s="27">
        <f>IFERROR(TEXTJOIN(CHAR(10),TRUE,FILTER(CONG_VIEC!C6:C305,CONG_VIEC!J6:J305=C12)),"")</f>
        <v/>
      </c>
      <c r="D14" s="27">
        <f>IFERROR(TEXTJOIN(CHAR(10),TRUE,FILTER(CONG_VIEC!C6:C305,CONG_VIEC!J6:J305=D12)),"")</f>
        <v/>
      </c>
      <c r="E14" s="27">
        <f>IFERROR(TEXTJOIN(CHAR(10),TRUE,FILTER(CONG_VIEC!C6:C305,CONG_VIEC!J6:J305=E12)),"")</f>
        <v/>
      </c>
      <c r="F14" s="27">
        <f>IFERROR(TEXTJOIN(CHAR(10),TRUE,FILTER(CONG_VIEC!C6:C305,CONG_VIEC!J6:J305=F12)),"")</f>
        <v/>
      </c>
      <c r="G14" s="27">
        <f>IFERROR(TEXTJOIN(CHAR(10),TRUE,FILTER(CONG_VIEC!C6:C305,CONG_VIEC!J6:J305=G12)),"")</f>
        <v/>
      </c>
    </row>
    <row r="15">
      <c r="A15" s="25">
        <f>$E$3+21</f>
        <v/>
      </c>
      <c r="B15" s="25">
        <f>$E$3+22</f>
        <v/>
      </c>
      <c r="C15" s="25">
        <f>$E$3+23</f>
        <v/>
      </c>
      <c r="D15" s="25">
        <f>$E$3+24</f>
        <v/>
      </c>
      <c r="E15" s="25">
        <f>$E$3+25</f>
        <v/>
      </c>
      <c r="F15" s="25">
        <f>$E$3+26</f>
        <v/>
      </c>
      <c r="G15" s="25">
        <f>$E$3+27</f>
        <v/>
      </c>
    </row>
    <row r="16">
      <c r="A16" s="26">
        <f>IF(COUNTIF(CONG_VIEC!J6:J305,A15)=0,"",COUNTIF(CONG_VIEC!J6:J305,A15)&amp;" việc"&amp;IF(COUNTIFS(CONG_VIEC!J6:J305,A15,CONG_VIEC!P6:P305,"Quá hạn")&gt;0," · "&amp;COUNTIFS(CONG_VIEC!J6:J305,A15,CONG_VIEC!P6:P305,"Quá hạn")&amp;" quá hạn",""))</f>
        <v/>
      </c>
      <c r="B16" s="26">
        <f>IF(COUNTIF(CONG_VIEC!J6:J305,B15)=0,"",COUNTIF(CONG_VIEC!J6:J305,B15)&amp;" việc"&amp;IF(COUNTIFS(CONG_VIEC!J6:J305,B15,CONG_VIEC!P6:P305,"Quá hạn")&gt;0," · "&amp;COUNTIFS(CONG_VIEC!J6:J305,B15,CONG_VIEC!P6:P305,"Quá hạn")&amp;" quá hạn",""))</f>
        <v/>
      </c>
      <c r="C16" s="26">
        <f>IF(COUNTIF(CONG_VIEC!J6:J305,C15)=0,"",COUNTIF(CONG_VIEC!J6:J305,C15)&amp;" việc"&amp;IF(COUNTIFS(CONG_VIEC!J6:J305,C15,CONG_VIEC!P6:P305,"Quá hạn")&gt;0," · "&amp;COUNTIFS(CONG_VIEC!J6:J305,C15,CONG_VIEC!P6:P305,"Quá hạn")&amp;" quá hạn",""))</f>
        <v/>
      </c>
      <c r="D16" s="26">
        <f>IF(COUNTIF(CONG_VIEC!J6:J305,D15)=0,"",COUNTIF(CONG_VIEC!J6:J305,D15)&amp;" việc"&amp;IF(COUNTIFS(CONG_VIEC!J6:J305,D15,CONG_VIEC!P6:P305,"Quá hạn")&gt;0," · "&amp;COUNTIFS(CONG_VIEC!J6:J305,D15,CONG_VIEC!P6:P305,"Quá hạn")&amp;" quá hạn",""))</f>
        <v/>
      </c>
      <c r="E16" s="26">
        <f>IF(COUNTIF(CONG_VIEC!J6:J305,E15)=0,"",COUNTIF(CONG_VIEC!J6:J305,E15)&amp;" việc"&amp;IF(COUNTIFS(CONG_VIEC!J6:J305,E15,CONG_VIEC!P6:P305,"Quá hạn")&gt;0," · "&amp;COUNTIFS(CONG_VIEC!J6:J305,E15,CONG_VIEC!P6:P305,"Quá hạn")&amp;" quá hạn",""))</f>
        <v/>
      </c>
      <c r="F16" s="26">
        <f>IF(COUNTIF(CONG_VIEC!J6:J305,F15)=0,"",COUNTIF(CONG_VIEC!J6:J305,F15)&amp;" việc"&amp;IF(COUNTIFS(CONG_VIEC!J6:J305,F15,CONG_VIEC!P6:P305,"Quá hạn")&gt;0," · "&amp;COUNTIFS(CONG_VIEC!J6:J305,F15,CONG_VIEC!P6:P305,"Quá hạn")&amp;" quá hạn",""))</f>
        <v/>
      </c>
      <c r="G16" s="26">
        <f>IF(COUNTIF(CONG_VIEC!J6:J305,G15)=0,"",COUNTIF(CONG_VIEC!J6:J305,G15)&amp;" việc"&amp;IF(COUNTIFS(CONG_VIEC!J6:J305,G15,CONG_VIEC!P6:P305,"Quá hạn")&gt;0," · "&amp;COUNTIFS(CONG_VIEC!J6:J305,G15,CONG_VIEC!P6:P305,"Quá hạn")&amp;" quá hạn",""))</f>
        <v/>
      </c>
    </row>
    <row r="17" ht="45" customHeight="1">
      <c r="A17" s="27">
        <f>IFERROR(TEXTJOIN(CHAR(10),TRUE,FILTER(CONG_VIEC!C6:C305,CONG_VIEC!J6:J305=A15)),"")</f>
        <v/>
      </c>
      <c r="B17" s="27">
        <f>IFERROR(TEXTJOIN(CHAR(10),TRUE,FILTER(CONG_VIEC!C6:C305,CONG_VIEC!J6:J305=B15)),"")</f>
        <v/>
      </c>
      <c r="C17" s="27">
        <f>IFERROR(TEXTJOIN(CHAR(10),TRUE,FILTER(CONG_VIEC!C6:C305,CONG_VIEC!J6:J305=C15)),"")</f>
        <v/>
      </c>
      <c r="D17" s="27">
        <f>IFERROR(TEXTJOIN(CHAR(10),TRUE,FILTER(CONG_VIEC!C6:C305,CONG_VIEC!J6:J305=D15)),"")</f>
        <v/>
      </c>
      <c r="E17" s="27">
        <f>IFERROR(TEXTJOIN(CHAR(10),TRUE,FILTER(CONG_VIEC!C6:C305,CONG_VIEC!J6:J305=E15)),"")</f>
        <v/>
      </c>
      <c r="F17" s="27">
        <f>IFERROR(TEXTJOIN(CHAR(10),TRUE,FILTER(CONG_VIEC!C6:C305,CONG_VIEC!J6:J305=F15)),"")</f>
        <v/>
      </c>
      <c r="G17" s="27">
        <f>IFERROR(TEXTJOIN(CHAR(10),TRUE,FILTER(CONG_VIEC!C6:C305,CONG_VIEC!J6:J305=G15)),"")</f>
        <v/>
      </c>
    </row>
    <row r="18">
      <c r="A18" s="25">
        <f>$E$3+28</f>
        <v/>
      </c>
      <c r="B18" s="25">
        <f>$E$3+29</f>
        <v/>
      </c>
      <c r="C18" s="25">
        <f>$E$3+30</f>
        <v/>
      </c>
      <c r="D18" s="25">
        <f>$E$3+31</f>
        <v/>
      </c>
      <c r="E18" s="25">
        <f>$E$3+32</f>
        <v/>
      </c>
      <c r="F18" s="25">
        <f>$E$3+33</f>
        <v/>
      </c>
      <c r="G18" s="25">
        <f>$E$3+34</f>
        <v/>
      </c>
    </row>
    <row r="19">
      <c r="A19" s="26">
        <f>IF(COUNTIF(CONG_VIEC!J6:J305,A18)=0,"",COUNTIF(CONG_VIEC!J6:J305,A18)&amp;" việc"&amp;IF(COUNTIFS(CONG_VIEC!J6:J305,A18,CONG_VIEC!P6:P305,"Quá hạn")&gt;0," · "&amp;COUNTIFS(CONG_VIEC!J6:J305,A18,CONG_VIEC!P6:P305,"Quá hạn")&amp;" quá hạn",""))</f>
        <v/>
      </c>
      <c r="B19" s="26">
        <f>IF(COUNTIF(CONG_VIEC!J6:J305,B18)=0,"",COUNTIF(CONG_VIEC!J6:J305,B18)&amp;" việc"&amp;IF(COUNTIFS(CONG_VIEC!J6:J305,B18,CONG_VIEC!P6:P305,"Quá hạn")&gt;0," · "&amp;COUNTIFS(CONG_VIEC!J6:J305,B18,CONG_VIEC!P6:P305,"Quá hạn")&amp;" quá hạn",""))</f>
        <v/>
      </c>
      <c r="C19" s="26">
        <f>IF(COUNTIF(CONG_VIEC!J6:J305,C18)=0,"",COUNTIF(CONG_VIEC!J6:J305,C18)&amp;" việc"&amp;IF(COUNTIFS(CONG_VIEC!J6:J305,C18,CONG_VIEC!P6:P305,"Quá hạn")&gt;0," · "&amp;COUNTIFS(CONG_VIEC!J6:J305,C18,CONG_VIEC!P6:P305,"Quá hạn")&amp;" quá hạn",""))</f>
        <v/>
      </c>
      <c r="D19" s="26">
        <f>IF(COUNTIF(CONG_VIEC!J6:J305,D18)=0,"",COUNTIF(CONG_VIEC!J6:J305,D18)&amp;" việc"&amp;IF(COUNTIFS(CONG_VIEC!J6:J305,D18,CONG_VIEC!P6:P305,"Quá hạn")&gt;0," · "&amp;COUNTIFS(CONG_VIEC!J6:J305,D18,CONG_VIEC!P6:P305,"Quá hạn")&amp;" quá hạn",""))</f>
        <v/>
      </c>
      <c r="E19" s="26">
        <f>IF(COUNTIF(CONG_VIEC!J6:J305,E18)=0,"",COUNTIF(CONG_VIEC!J6:J305,E18)&amp;" việc"&amp;IF(COUNTIFS(CONG_VIEC!J6:J305,E18,CONG_VIEC!P6:P305,"Quá hạn")&gt;0," · "&amp;COUNTIFS(CONG_VIEC!J6:J305,E18,CONG_VIEC!P6:P305,"Quá hạn")&amp;" quá hạn",""))</f>
        <v/>
      </c>
      <c r="F19" s="26">
        <f>IF(COUNTIF(CONG_VIEC!J6:J305,F18)=0,"",COUNTIF(CONG_VIEC!J6:J305,F18)&amp;" việc"&amp;IF(COUNTIFS(CONG_VIEC!J6:J305,F18,CONG_VIEC!P6:P305,"Quá hạn")&gt;0," · "&amp;COUNTIFS(CONG_VIEC!J6:J305,F18,CONG_VIEC!P6:P305,"Quá hạn")&amp;" quá hạn",""))</f>
        <v/>
      </c>
      <c r="G19" s="26">
        <f>IF(COUNTIF(CONG_VIEC!J6:J305,G18)=0,"",COUNTIF(CONG_VIEC!J6:J305,G18)&amp;" việc"&amp;IF(COUNTIFS(CONG_VIEC!J6:J305,G18,CONG_VIEC!P6:P305,"Quá hạn")&gt;0," · "&amp;COUNTIFS(CONG_VIEC!J6:J305,G18,CONG_VIEC!P6:P305,"Quá hạn")&amp;" quá hạn",""))</f>
        <v/>
      </c>
    </row>
    <row r="20" ht="45" customHeight="1">
      <c r="A20" s="27">
        <f>IFERROR(TEXTJOIN(CHAR(10),TRUE,FILTER(CONG_VIEC!C6:C305,CONG_VIEC!J6:J305=A18)),"")</f>
        <v/>
      </c>
      <c r="B20" s="27">
        <f>IFERROR(TEXTJOIN(CHAR(10),TRUE,FILTER(CONG_VIEC!C6:C305,CONG_VIEC!J6:J305=B18)),"")</f>
        <v/>
      </c>
      <c r="C20" s="27">
        <f>IFERROR(TEXTJOIN(CHAR(10),TRUE,FILTER(CONG_VIEC!C6:C305,CONG_VIEC!J6:J305=C18)),"")</f>
        <v/>
      </c>
      <c r="D20" s="27">
        <f>IFERROR(TEXTJOIN(CHAR(10),TRUE,FILTER(CONG_VIEC!C6:C305,CONG_VIEC!J6:J305=D18)),"")</f>
        <v/>
      </c>
      <c r="E20" s="27">
        <f>IFERROR(TEXTJOIN(CHAR(10),TRUE,FILTER(CONG_VIEC!C6:C305,CONG_VIEC!J6:J305=E18)),"")</f>
        <v/>
      </c>
      <c r="F20" s="27">
        <f>IFERROR(TEXTJOIN(CHAR(10),TRUE,FILTER(CONG_VIEC!C6:C305,CONG_VIEC!J6:J305=F18)),"")</f>
        <v/>
      </c>
      <c r="G20" s="27">
        <f>IFERROR(TEXTJOIN(CHAR(10),TRUE,FILTER(CONG_VIEC!C6:C305,CONG_VIEC!J6:J305=G18)),"")</f>
        <v/>
      </c>
    </row>
    <row r="21">
      <c r="A21" s="25">
        <f>$E$3+35</f>
        <v/>
      </c>
      <c r="B21" s="25">
        <f>$E$3+36</f>
        <v/>
      </c>
      <c r="C21" s="25">
        <f>$E$3+37</f>
        <v/>
      </c>
      <c r="D21" s="25">
        <f>$E$3+38</f>
        <v/>
      </c>
      <c r="E21" s="25">
        <f>$E$3+39</f>
        <v/>
      </c>
      <c r="F21" s="25">
        <f>$E$3+40</f>
        <v/>
      </c>
      <c r="G21" s="25">
        <f>$E$3+41</f>
        <v/>
      </c>
    </row>
    <row r="22">
      <c r="A22" s="26">
        <f>IF(COUNTIF(CONG_VIEC!J6:J305,A21)=0,"",COUNTIF(CONG_VIEC!J6:J305,A21)&amp;" việc"&amp;IF(COUNTIFS(CONG_VIEC!J6:J305,A21,CONG_VIEC!P6:P305,"Quá hạn")&gt;0," · "&amp;COUNTIFS(CONG_VIEC!J6:J305,A21,CONG_VIEC!P6:P305,"Quá hạn")&amp;" quá hạn",""))</f>
        <v/>
      </c>
      <c r="B22" s="26">
        <f>IF(COUNTIF(CONG_VIEC!J6:J305,B21)=0,"",COUNTIF(CONG_VIEC!J6:J305,B21)&amp;" việc"&amp;IF(COUNTIFS(CONG_VIEC!J6:J305,B21,CONG_VIEC!P6:P305,"Quá hạn")&gt;0," · "&amp;COUNTIFS(CONG_VIEC!J6:J305,B21,CONG_VIEC!P6:P305,"Quá hạn")&amp;" quá hạn",""))</f>
        <v/>
      </c>
      <c r="C22" s="26">
        <f>IF(COUNTIF(CONG_VIEC!J6:J305,C21)=0,"",COUNTIF(CONG_VIEC!J6:J305,C21)&amp;" việc"&amp;IF(COUNTIFS(CONG_VIEC!J6:J305,C21,CONG_VIEC!P6:P305,"Quá hạn")&gt;0," · "&amp;COUNTIFS(CONG_VIEC!J6:J305,C21,CONG_VIEC!P6:P305,"Quá hạn")&amp;" quá hạn",""))</f>
        <v/>
      </c>
      <c r="D22" s="26">
        <f>IF(COUNTIF(CONG_VIEC!J6:J305,D21)=0,"",COUNTIF(CONG_VIEC!J6:J305,D21)&amp;" việc"&amp;IF(COUNTIFS(CONG_VIEC!J6:J305,D21,CONG_VIEC!P6:P305,"Quá hạn")&gt;0," · "&amp;COUNTIFS(CONG_VIEC!J6:J305,D21,CONG_VIEC!P6:P305,"Quá hạn")&amp;" quá hạn",""))</f>
        <v/>
      </c>
      <c r="E22" s="26">
        <f>IF(COUNTIF(CONG_VIEC!J6:J305,E21)=0,"",COUNTIF(CONG_VIEC!J6:J305,E21)&amp;" việc"&amp;IF(COUNTIFS(CONG_VIEC!J6:J305,E21,CONG_VIEC!P6:P305,"Quá hạn")&gt;0," · "&amp;COUNTIFS(CONG_VIEC!J6:J305,E21,CONG_VIEC!P6:P305,"Quá hạn")&amp;" quá hạn",""))</f>
        <v/>
      </c>
      <c r="F22" s="26">
        <f>IF(COUNTIF(CONG_VIEC!J6:J305,F21)=0,"",COUNTIF(CONG_VIEC!J6:J305,F21)&amp;" việc"&amp;IF(COUNTIFS(CONG_VIEC!J6:J305,F21,CONG_VIEC!P6:P305,"Quá hạn")&gt;0," · "&amp;COUNTIFS(CONG_VIEC!J6:J305,F21,CONG_VIEC!P6:P305,"Quá hạn")&amp;" quá hạn",""))</f>
        <v/>
      </c>
      <c r="G22" s="26">
        <f>IF(COUNTIF(CONG_VIEC!J6:J305,G21)=0,"",COUNTIF(CONG_VIEC!J6:J305,G21)&amp;" việc"&amp;IF(COUNTIFS(CONG_VIEC!J6:J305,G21,CONG_VIEC!P6:P305,"Quá hạn")&gt;0," · "&amp;COUNTIFS(CONG_VIEC!J6:J305,G21,CONG_VIEC!P6:P305,"Quá hạn")&amp;" quá hạn",""))</f>
        <v/>
      </c>
    </row>
    <row r="23" ht="45" customHeight="1">
      <c r="A23" s="27">
        <f>IFERROR(TEXTJOIN(CHAR(10),TRUE,FILTER(CONG_VIEC!C6:C305,CONG_VIEC!J6:J305=A21)),"")</f>
        <v/>
      </c>
      <c r="B23" s="27">
        <f>IFERROR(TEXTJOIN(CHAR(10),TRUE,FILTER(CONG_VIEC!C6:C305,CONG_VIEC!J6:J305=B21)),"")</f>
        <v/>
      </c>
      <c r="C23" s="27">
        <f>IFERROR(TEXTJOIN(CHAR(10),TRUE,FILTER(CONG_VIEC!C6:C305,CONG_VIEC!J6:J305=C21)),"")</f>
        <v/>
      </c>
      <c r="D23" s="27">
        <f>IFERROR(TEXTJOIN(CHAR(10),TRUE,FILTER(CONG_VIEC!C6:C305,CONG_VIEC!J6:J305=D21)),"")</f>
        <v/>
      </c>
      <c r="E23" s="27">
        <f>IFERROR(TEXTJOIN(CHAR(10),TRUE,FILTER(CONG_VIEC!C6:C305,CONG_VIEC!J6:J305=E21)),"")</f>
        <v/>
      </c>
      <c r="F23" s="27">
        <f>IFERROR(TEXTJOIN(CHAR(10),TRUE,FILTER(CONG_VIEC!C6:C305,CONG_VIEC!J6:J305=F21)),"")</f>
        <v/>
      </c>
      <c r="G23" s="27">
        <f>IFERROR(TEXTJOIN(CHAR(10),TRUE,FILTER(CONG_VIEC!C6:C305,CONG_VIEC!J6:J305=G21)),"")</f>
        <v/>
      </c>
    </row>
  </sheetData>
  <conditionalFormatting sqref="A6:G6">
    <cfRule type="expression" priority="1" dxfId="6">
      <formula>MONTH(A6)&lt;&gt;MONTH($C$3)</formula>
    </cfRule>
  </conditionalFormatting>
  <conditionalFormatting sqref="A9:G9">
    <cfRule type="expression" priority="2" dxfId="6">
      <formula>MONTH(A9)&lt;&gt;MONTH($C$3)</formula>
    </cfRule>
  </conditionalFormatting>
  <conditionalFormatting sqref="A12:G12">
    <cfRule type="expression" priority="3" dxfId="6">
      <formula>MONTH(A12)&lt;&gt;MONTH($C$3)</formula>
    </cfRule>
  </conditionalFormatting>
  <conditionalFormatting sqref="A15:G15">
    <cfRule type="expression" priority="4" dxfId="6">
      <formula>MONTH(A15)&lt;&gt;MONTH($C$3)</formula>
    </cfRule>
  </conditionalFormatting>
  <conditionalFormatting sqref="A18:G18">
    <cfRule type="expression" priority="5" dxfId="6">
      <formula>MONTH(A18)&lt;&gt;MONTH($C$3)</formula>
    </cfRule>
  </conditionalFormatting>
  <conditionalFormatting sqref="A21:G21">
    <cfRule type="expression" priority="6" dxfId="6">
      <formula>MONTH(A21)&lt;&gt;MONTH($C$3)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>
      <c r="A1" s="1" t="inlineStr">
        <is>
          <t>DANH MỤC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8" t="inlineStr">
        <is>
          <t>Sửa các ô nền vàng. Danh sách thả xuống ở sheet CONG_VIEC lấy từ đây.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6" t="inlineStr">
        <is>
          <t>Đơn vị</t>
        </is>
      </c>
      <c r="B4" s="6" t="inlineStr">
        <is>
          <t>Phường / địa bàn</t>
        </is>
      </c>
      <c r="C4" s="6" t="inlineStr">
        <is>
          <t>Người phụ trách</t>
        </is>
      </c>
      <c r="D4" s="6" t="inlineStr">
        <is>
          <t>Nguồn việc</t>
        </is>
      </c>
      <c r="E4" s="6" t="inlineStr">
        <is>
          <t>Trạng thái</t>
        </is>
      </c>
      <c r="F4" s="6" t="inlineStr">
        <is>
          <t>Có / Không</t>
        </is>
      </c>
      <c r="G4" s="2" t="n"/>
      <c r="H4" s="2" t="n"/>
    </row>
    <row r="5">
      <c r="A5" s="28" t="inlineStr">
        <is>
          <t>Đơn vị 1 (sửa tên)</t>
        </is>
      </c>
      <c r="B5" s="28" t="inlineStr">
        <is>
          <t>Phường 1 (sửa tên)</t>
        </is>
      </c>
      <c r="C5" s="28" t="inlineStr">
        <is>
          <t>Người 1 (sửa tên)</t>
        </is>
      </c>
      <c r="D5" s="28" t="inlineStr">
        <is>
          <t>Cấp trên giao</t>
        </is>
      </c>
      <c r="E5" s="2" t="inlineStr">
        <is>
          <t>Chưa làm</t>
        </is>
      </c>
      <c r="F5" s="2" t="inlineStr">
        <is>
          <t>Có</t>
        </is>
      </c>
      <c r="G5" s="2" t="n"/>
      <c r="H5" s="2" t="inlineStr">
        <is>
          <t>Trạng thái và Có/Không là danh mục cố định: công thức dựa vào đúng các chữ này, không sửa.</t>
        </is>
      </c>
    </row>
    <row r="6">
      <c r="A6" s="28" t="inlineStr">
        <is>
          <t>Đơn vị 2 (sửa tên)</t>
        </is>
      </c>
      <c r="B6" s="28" t="inlineStr">
        <is>
          <t>Phường 2 (sửa tên)</t>
        </is>
      </c>
      <c r="C6" s="28" t="inlineStr">
        <is>
          <t>Người 2 (sửa tên)</t>
        </is>
      </c>
      <c r="D6" s="28" t="inlineStr">
        <is>
          <t>Nghị quyết / kế hoạch</t>
        </is>
      </c>
      <c r="E6" s="2" t="inlineStr">
        <is>
          <t>Đang làm</t>
        </is>
      </c>
      <c r="F6" s="2" t="inlineStr">
        <is>
          <t>Không</t>
        </is>
      </c>
      <c r="G6" s="2" t="n"/>
      <c r="H6" s="2" t="inlineStr">
        <is>
          <t>Tên đơn vị, phường, người phụ trách là chỗ trống để điền; file chưa có tên thật.</t>
        </is>
      </c>
    </row>
    <row r="7">
      <c r="A7" s="28" t="inlineStr">
        <is>
          <t>Đơn vị 3 (sửa tên)</t>
        </is>
      </c>
      <c r="B7" s="28" t="inlineStr">
        <is>
          <t>Phường 3 (sửa tên)</t>
        </is>
      </c>
      <c r="C7" s="28" t="inlineStr">
        <is>
          <t>Người 3 (sửa tên)</t>
        </is>
      </c>
      <c r="D7" s="28" t="inlineStr">
        <is>
          <t>Phản ánh của dân</t>
        </is>
      </c>
      <c r="E7" s="2" t="inlineStr">
        <is>
          <t>Chờ duyệt</t>
        </is>
      </c>
      <c r="F7" s="2" t="n"/>
      <c r="G7" s="2" t="n"/>
      <c r="H7" s="2" t="n"/>
    </row>
    <row r="8">
      <c r="A8" s="28" t="inlineStr">
        <is>
          <t>Đơn vị 4 (sửa tên)</t>
        </is>
      </c>
      <c r="B8" s="28" t="inlineStr">
        <is>
          <t>Phường 4 (sửa tên)</t>
        </is>
      </c>
      <c r="C8" s="28" t="inlineStr">
        <is>
          <t>Người 4 (sửa tên)</t>
        </is>
      </c>
      <c r="D8" s="28" t="inlineStr">
        <is>
          <t>Phát sinh nội bộ</t>
        </is>
      </c>
      <c r="E8" s="2" t="inlineStr">
        <is>
          <t>Hoàn thành</t>
        </is>
      </c>
      <c r="F8" s="2" t="n"/>
      <c r="G8" s="2" t="n"/>
      <c r="H8" s="2" t="n"/>
    </row>
    <row r="9">
      <c r="A9" s="28" t="inlineStr">
        <is>
          <t>Đơn vị 5 (sửa tên)</t>
        </is>
      </c>
      <c r="B9" s="28" t="inlineStr">
        <is>
          <t>Phường 5 (sửa tên)</t>
        </is>
      </c>
      <c r="C9" s="28" t="inlineStr">
        <is>
          <t>Người 5 (sửa tên)</t>
        </is>
      </c>
      <c r="D9" s="28" t="inlineStr">
        <is>
          <t>Nhóm Zalo</t>
        </is>
      </c>
      <c r="E9" s="2" t="n"/>
      <c r="F9" s="2" t="n"/>
      <c r="G9" s="2" t="n"/>
      <c r="H9" s="2" t="n"/>
    </row>
    <row r="10">
      <c r="A10" s="28" t="inlineStr">
        <is>
          <t>Đơn vị 6 (sửa tên)</t>
        </is>
      </c>
      <c r="B10" s="28" t="n"/>
      <c r="C10" s="28" t="inlineStr">
        <is>
          <t>Người 6 (sửa tên)</t>
        </is>
      </c>
      <c r="D10" s="28" t="n"/>
      <c r="E10" s="2" t="n"/>
      <c r="F10" s="2" t="n"/>
      <c r="G10" s="2" t="n"/>
      <c r="H10" s="2" t="n"/>
    </row>
    <row r="11">
      <c r="A11" s="28" t="n"/>
      <c r="B11" s="28" t="n"/>
      <c r="C11" s="28" t="inlineStr">
        <is>
          <t>Người 7 (sửa tên)</t>
        </is>
      </c>
      <c r="D11" s="28" t="n"/>
      <c r="E11" s="2" t="n"/>
      <c r="F11" s="2" t="n"/>
      <c r="G11" s="2" t="n"/>
      <c r="H11" s="2" t="n"/>
    </row>
    <row r="12">
      <c r="A12" s="28" t="n"/>
      <c r="B12" s="28" t="n"/>
      <c r="C12" s="28" t="inlineStr">
        <is>
          <t>Người 8 (sửa tên)</t>
        </is>
      </c>
      <c r="D12" s="28" t="n"/>
      <c r="E12" s="2" t="n"/>
      <c r="F12" s="2" t="n"/>
      <c r="G12" s="2" t="n"/>
      <c r="H12" s="2" t="n"/>
    </row>
    <row r="13">
      <c r="A13" s="28" t="n"/>
      <c r="B13" s="28" t="n"/>
      <c r="C13" s="28" t="n"/>
      <c r="D13" s="28" t="n"/>
      <c r="E13" s="2" t="n"/>
      <c r="F13" s="2" t="n"/>
      <c r="G13" s="2" t="n"/>
      <c r="H13" s="2" t="n"/>
    </row>
    <row r="14">
      <c r="A14" s="28" t="n"/>
      <c r="B14" s="28" t="n"/>
      <c r="C14" s="28" t="n"/>
      <c r="D14" s="28" t="n"/>
      <c r="E14" s="2" t="n"/>
      <c r="F14" s="2" t="n"/>
      <c r="G14" s="2" t="n"/>
      <c r="H14" s="2" t="n"/>
    </row>
    <row r="15">
      <c r="A15" s="2" t="n"/>
      <c r="B15" s="2" t="n"/>
      <c r="C15" s="28" t="n"/>
      <c r="D15" s="2" t="n"/>
      <c r="E15" s="2" t="n"/>
      <c r="F15" s="2" t="n"/>
      <c r="G15" s="2" t="n"/>
      <c r="H15" s="2" t="n"/>
    </row>
    <row r="16">
      <c r="A16" s="2" t="n"/>
      <c r="B16" s="2" t="n"/>
      <c r="C16" s="28" t="n"/>
      <c r="D16" s="2" t="n"/>
      <c r="E16" s="2" t="n"/>
      <c r="F16" s="2" t="n"/>
      <c r="G16" s="2" t="n"/>
      <c r="H16" s="2" t="n"/>
    </row>
    <row r="17">
      <c r="A17" s="2" t="n"/>
      <c r="B17" s="2" t="n"/>
      <c r="C17" s="28" t="n"/>
      <c r="D17" s="2" t="n"/>
      <c r="E17" s="2" t="n"/>
      <c r="F17" s="2" t="n"/>
      <c r="G17" s="2" t="n"/>
      <c r="H17" s="2" t="n"/>
    </row>
    <row r="18">
      <c r="A18" s="2" t="n"/>
      <c r="B18" s="2" t="n"/>
      <c r="C18" s="28" t="n"/>
      <c r="D18" s="2" t="n"/>
      <c r="E18" s="2" t="n"/>
      <c r="F18" s="2" t="n"/>
      <c r="G18" s="2" t="n"/>
      <c r="H18" s="2" t="n"/>
    </row>
    <row r="19">
      <c r="A19" s="2" t="n"/>
      <c r="B19" s="2" t="n"/>
      <c r="C19" s="28" t="n"/>
      <c r="D19" s="2" t="n"/>
      <c r="E19" s="2" t="n"/>
      <c r="F19" s="2" t="n"/>
      <c r="G19" s="2" t="n"/>
      <c r="H19" s="2" t="n"/>
    </row>
    <row r="20">
      <c r="A20" s="2" t="n"/>
      <c r="B20" s="2" t="n"/>
      <c r="C20" s="28" t="n"/>
      <c r="D20" s="2" t="n"/>
      <c r="E20" s="2" t="n"/>
      <c r="F20" s="2" t="n"/>
      <c r="G20" s="2" t="n"/>
      <c r="H20" s="2" t="n"/>
    </row>
    <row r="21">
      <c r="A21" s="2" t="n"/>
      <c r="B21" s="2" t="n"/>
      <c r="C21" s="28" t="n"/>
      <c r="D21" s="2" t="n"/>
      <c r="E21" s="2" t="n"/>
      <c r="F21" s="2" t="n"/>
      <c r="G21" s="2" t="n"/>
      <c r="H21" s="2" t="n"/>
    </row>
    <row r="22">
      <c r="A22" s="2" t="n"/>
      <c r="B22" s="2" t="n"/>
      <c r="C22" s="28" t="n"/>
      <c r="D22" s="2" t="n"/>
      <c r="E22" s="2" t="n"/>
      <c r="F22" s="2" t="n"/>
      <c r="G22" s="2" t="n"/>
      <c r="H22" s="2" t="n"/>
    </row>
    <row r="23">
      <c r="A23" s="2" t="n"/>
      <c r="B23" s="2" t="n"/>
      <c r="C23" s="28" t="n"/>
      <c r="D23" s="2" t="n"/>
      <c r="E23" s="2" t="n"/>
      <c r="F23" s="2" t="n"/>
      <c r="G23" s="2" t="n"/>
      <c r="H23" s="2" t="n"/>
    </row>
    <row r="24">
      <c r="A24" s="2" t="n"/>
      <c r="B24" s="2" t="n"/>
      <c r="C24" s="28" t="n"/>
      <c r="D24" s="2" t="n"/>
      <c r="E24" s="2" t="n"/>
      <c r="F24" s="2" t="n"/>
      <c r="G24" s="2" t="n"/>
      <c r="H24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2026-09-23T07:34:16Z</dcterms:created>
  <dcterms:modified xsi:type="dcterms:W3CDTF">2026-09-23T07:34:16Z</dcterms:modified>
</cp:coreProperties>
</file>